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F1EDAC-5D83-491D-8451-234C732513A7}" xr6:coauthVersionLast="47" xr6:coauthVersionMax="47" xr10:uidLastSave="{00000000-0000-0000-0000-000000000000}"/>
  <bookViews>
    <workbookView xWindow="-120" yWindow="-120" windowWidth="29040" windowHeight="15840" xr2:uid="{9BEA60ED-7349-456B-962A-10370B5D6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7" i="1"/>
  <c r="C8" i="1"/>
  <c r="G10" i="1" l="1"/>
  <c r="I10" i="1" s="1"/>
  <c r="G8" i="1"/>
  <c r="I8" i="1" s="1"/>
</calcChain>
</file>

<file path=xl/sharedStrings.xml><?xml version="1.0" encoding="utf-8"?>
<sst xmlns="http://schemas.openxmlformats.org/spreadsheetml/2006/main" count="17" uniqueCount="15">
  <si>
    <t>K2</t>
    <phoneticPr fontId="2" type="noConversion"/>
  </si>
  <si>
    <t>输入电压</t>
    <phoneticPr fontId="2" type="noConversion"/>
  </si>
  <si>
    <t>B2</t>
    <phoneticPr fontId="2" type="noConversion"/>
  </si>
  <si>
    <t>PH</t>
    <phoneticPr fontId="2" type="noConversion"/>
  </si>
  <si>
    <t>积分输出电压</t>
    <phoneticPr fontId="2" type="noConversion"/>
  </si>
  <si>
    <t>放大电压（减去偏置）</t>
    <phoneticPr fontId="2" type="noConversion"/>
  </si>
  <si>
    <t>输入ADC电压</t>
    <phoneticPr fontId="2" type="noConversion"/>
  </si>
  <si>
    <t>积分输出放大倍数</t>
    <phoneticPr fontId="2" type="noConversion"/>
  </si>
  <si>
    <t>反算PH</t>
    <phoneticPr fontId="2" type="noConversion"/>
  </si>
  <si>
    <t>B1（截距）</t>
    <phoneticPr fontId="2" type="noConversion"/>
  </si>
  <si>
    <t>K1（斜率）</t>
    <phoneticPr fontId="2" type="noConversion"/>
  </si>
  <si>
    <t>早-雨</t>
    <phoneticPr fontId="2" type="noConversion"/>
  </si>
  <si>
    <t>晚-晴</t>
    <phoneticPr fontId="2" type="noConversion"/>
  </si>
  <si>
    <t>测试正常</t>
    <phoneticPr fontId="2" type="noConversion"/>
  </si>
  <si>
    <t>照上表偏移+211mV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</si>
</sst>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>
      <alignment vertical="center"/>
    </xf>
    <xf numFmtId="0" fontId="0" fillId="3" borderId="0" xfId="0" applyFill="1">
      <alignment vertical="center"/>
    </xf>
    <xf numFmtId="58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E475-BC0B-4822-87DC-9BC06E69E15C}">
  <dimension ref="A1:J16"/>
  <sheetViews>
    <sheetView tabSelected="1" zoomScale="130" zoomScaleNormal="130" workbookViewId="0">
      <selection activeCell="E18" sqref="E18"/>
    </sheetView>
  </sheetViews>
  <sheetFormatPr defaultRowHeight="14.25" x14ac:dyDescent="0.2"/>
  <cols>
    <col min="1" max="1" width="10" bestFit="1" customWidth="1"/>
    <col min="2" max="2" width="13.375" customWidth="1"/>
    <col min="3" max="3" width="18.75" customWidth="1"/>
    <col min="4" max="4" width="11.875" customWidth="1"/>
    <col min="7" max="7" width="14.625" customWidth="1"/>
  </cols>
  <sheetData>
    <row r="1" spans="1:10" x14ac:dyDescent="0.2">
      <c r="A1" s="3">
        <v>45797</v>
      </c>
    </row>
    <row r="2" spans="1:10" x14ac:dyDescent="0.2">
      <c r="A2" s="2" t="s">
        <v>3</v>
      </c>
      <c r="B2" s="2" t="s">
        <v>4</v>
      </c>
      <c r="C2" s="2" t="s">
        <v>5</v>
      </c>
      <c r="D2" s="2" t="s">
        <v>6</v>
      </c>
      <c r="E2" s="2"/>
      <c r="F2" s="2"/>
      <c r="G2" s="2" t="s">
        <v>7</v>
      </c>
    </row>
    <row r="3" spans="1:10" x14ac:dyDescent="0.2">
      <c r="A3" s="1">
        <v>1.68</v>
      </c>
      <c r="B3" s="1">
        <v>0.34699999999999998</v>
      </c>
      <c r="C3" s="1">
        <f>B3*G3</f>
        <v>0.52049999999999996</v>
      </c>
      <c r="D3" s="1">
        <v>1.7589999999999999</v>
      </c>
      <c r="E3" s="1"/>
      <c r="F3" s="1">
        <v>1.24</v>
      </c>
      <c r="G3">
        <v>1.5</v>
      </c>
    </row>
    <row r="4" spans="1:10" x14ac:dyDescent="0.2">
      <c r="A4" s="1">
        <v>6.86</v>
      </c>
      <c r="B4" s="1">
        <v>4.5999999999999999E-2</v>
      </c>
      <c r="C4" s="1">
        <f>B4*G3</f>
        <v>6.9000000000000006E-2</v>
      </c>
      <c r="D4" s="1">
        <v>1.3049999999999999</v>
      </c>
      <c r="E4" s="1"/>
      <c r="F4" s="1"/>
    </row>
    <row r="5" spans="1:10" x14ac:dyDescent="0.2">
      <c r="A5" s="1">
        <v>12.45</v>
      </c>
      <c r="B5" s="1">
        <v>-0.25900000000000001</v>
      </c>
      <c r="C5" s="1">
        <f>B5*G3</f>
        <v>-0.38850000000000001</v>
      </c>
      <c r="D5" s="1">
        <v>0.84399999999999997</v>
      </c>
      <c r="E5" s="1"/>
      <c r="F5" s="1"/>
    </row>
    <row r="7" spans="1:10" x14ac:dyDescent="0.2">
      <c r="A7" s="1">
        <v>4.01</v>
      </c>
      <c r="B7" s="1">
        <v>0.21</v>
      </c>
      <c r="C7" s="1">
        <f>B7*F3</f>
        <v>0.26039999999999996</v>
      </c>
      <c r="D7" s="1">
        <v>1.5529999999999999</v>
      </c>
      <c r="G7" t="s">
        <v>10</v>
      </c>
      <c r="H7" t="s">
        <v>1</v>
      </c>
      <c r="I7" t="s">
        <v>8</v>
      </c>
      <c r="J7" t="s">
        <v>9</v>
      </c>
    </row>
    <row r="8" spans="1:10" x14ac:dyDescent="0.2">
      <c r="A8" s="1">
        <v>9.18</v>
      </c>
      <c r="B8" s="1">
        <v>-8.5999999999999993E-2</v>
      </c>
      <c r="C8" s="1">
        <f>B8*G3</f>
        <v>-0.129</v>
      </c>
      <c r="D8" s="1">
        <v>1.103</v>
      </c>
      <c r="G8">
        <f>(A3-A4)/(C3-C4)</f>
        <v>-11.472868217054266</v>
      </c>
      <c r="H8">
        <v>0.23</v>
      </c>
      <c r="I8">
        <f>J8+G8*H8</f>
        <v>5.012840310077519</v>
      </c>
      <c r="J8">
        <v>7.6516000000000002</v>
      </c>
    </row>
    <row r="9" spans="1:10" x14ac:dyDescent="0.2">
      <c r="G9" t="s">
        <v>0</v>
      </c>
      <c r="J9" t="s">
        <v>2</v>
      </c>
    </row>
    <row r="10" spans="1:10" x14ac:dyDescent="0.2">
      <c r="G10">
        <f>(A4-A5)/(C4-C5)</f>
        <v>-12.218579234972674</v>
      </c>
      <c r="H10">
        <v>-1E-3</v>
      </c>
      <c r="I10">
        <f>J10+H10*G10</f>
        <v>7.715218579234973</v>
      </c>
      <c r="J10">
        <v>7.7030000000000003</v>
      </c>
    </row>
    <row r="11" spans="1:10" x14ac:dyDescent="0.2">
      <c r="A11" s="3">
        <v>45798</v>
      </c>
      <c r="B11" t="s">
        <v>11</v>
      </c>
      <c r="C11" t="s">
        <v>14</v>
      </c>
      <c r="D11" t="s">
        <v>13</v>
      </c>
    </row>
    <row r="12" spans="1:10" x14ac:dyDescent="0.2">
      <c r="B12" t="s">
        <v>12</v>
      </c>
      <c r="C12" t="s">
        <v>14</v>
      </c>
      <c r="D12" t="s">
        <v>13</v>
      </c>
    </row>
    <row r="13" spans="1:10" x14ac:dyDescent="0.2">
      <c r="A13" s="4"/>
    </row>
    <row r="14" spans="1:10" x14ac:dyDescent="0.2">
      <c r="B14">
        <v>27</v>
      </c>
      <c r="E14">
        <v>1.274</v>
      </c>
    </row>
    <row r="15" spans="1:10" x14ac:dyDescent="0.2">
      <c r="E15">
        <v>0.87</v>
      </c>
    </row>
    <row r="16" spans="1:10" x14ac:dyDescent="0.2">
      <c r="B16">
        <v>-575</v>
      </c>
      <c r="E16">
        <v>0.373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2025-05-20T02:14:14Z</dcterms:created>
  <dcterms:modified xsi:type="dcterms:W3CDTF">2025-05-22T08:10:21Z</dcterms:modified>
</cp:coreProperties>
</file>