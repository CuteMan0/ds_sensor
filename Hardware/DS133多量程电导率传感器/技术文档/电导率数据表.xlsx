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WorkSpace\ds_sensor\Hardware\DS133多量程电导率传感器\PCB Project\"/>
    </mc:Choice>
  </mc:AlternateContent>
  <xr:revisionPtr revIDLastSave="0" documentId="13_ncr:1_{20E00A69-1EB4-44E4-B81E-9DAB815822B2}" xr6:coauthVersionLast="47" xr6:coauthVersionMax="47" xr10:uidLastSave="{00000000-0000-0000-0000-000000000000}"/>
  <bookViews>
    <workbookView xWindow="-28920" yWindow="-120" windowWidth="29040" windowHeight="15840" activeTab="1" xr2:uid="{D83E5E16-E6A9-4FF1-8B03-F7B60068E0E3}"/>
  </bookViews>
  <sheets>
    <sheet name="DS132" sheetId="1" r:id="rId1"/>
    <sheet name="DS133" sheetId="2" r:id="rId2"/>
    <sheet name="Sallen-key型LP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3" l="1"/>
  <c r="G3" i="3"/>
  <c r="K3" i="3" s="1"/>
  <c r="J3" i="3" s="1"/>
  <c r="H3" i="3"/>
  <c r="F4" i="3"/>
  <c r="G4" i="3"/>
  <c r="K4" i="3" s="1"/>
  <c r="H4" i="3"/>
  <c r="F5" i="3"/>
  <c r="G5" i="3" s="1"/>
  <c r="K5" i="3" s="1"/>
  <c r="F6" i="3"/>
  <c r="G6" i="3"/>
  <c r="K6" i="3" s="1"/>
  <c r="H6" i="3"/>
  <c r="L5" i="3" l="1"/>
  <c r="J5" i="3"/>
  <c r="J6" i="3"/>
  <c r="L6" i="3"/>
  <c r="J4" i="3"/>
  <c r="L4" i="3"/>
  <c r="H5" i="3"/>
  <c r="E13" i="2"/>
  <c r="E8" i="2"/>
  <c r="E11" i="2"/>
  <c r="F8" i="2"/>
  <c r="F11" i="2"/>
  <c r="F13" i="2"/>
  <c r="H8" i="2"/>
  <c r="F3" i="2"/>
  <c r="J20" i="2"/>
  <c r="J19" i="2"/>
  <c r="I20" i="2"/>
  <c r="I19" i="2"/>
  <c r="J18" i="2"/>
  <c r="I18" i="2"/>
  <c r="B18" i="2"/>
  <c r="C20" i="2" s="1"/>
  <c r="D20" i="2" s="1"/>
  <c r="C26" i="2"/>
  <c r="D26" i="2" s="1"/>
  <c r="C27" i="2"/>
  <c r="D27" i="2" s="1"/>
  <c r="C28" i="2"/>
  <c r="D28" i="2" s="1"/>
  <c r="C29" i="2"/>
  <c r="D29" i="2" s="1"/>
  <c r="C25" i="2"/>
  <c r="D25" i="2" s="1"/>
  <c r="H3" i="2"/>
  <c r="G8" i="2" l="1"/>
  <c r="I8" i="2" s="1"/>
  <c r="L8" i="2" s="1"/>
  <c r="G11" i="2"/>
  <c r="I11" i="2" s="1"/>
  <c r="L11" i="2" s="1"/>
  <c r="G13" i="2"/>
  <c r="I13" i="2" s="1"/>
  <c r="L13" i="2" s="1"/>
  <c r="C19" i="2"/>
  <c r="D19" i="2" s="1"/>
  <c r="C21" i="2"/>
  <c r="D21" i="2" s="1"/>
  <c r="C22" i="2"/>
  <c r="D22" i="2" s="1"/>
  <c r="C18" i="2"/>
  <c r="D18" i="2" s="1"/>
  <c r="H27" i="1" l="1"/>
  <c r="E26" i="1"/>
  <c r="E18" i="1"/>
  <c r="H18" i="1" s="1"/>
  <c r="E19" i="1"/>
  <c r="H19" i="1" s="1"/>
  <c r="I19" i="1" s="1"/>
  <c r="K19" i="1" s="1"/>
  <c r="E20" i="1"/>
  <c r="F20" i="1" s="1"/>
  <c r="E21" i="1"/>
  <c r="F21" i="1" s="1"/>
  <c r="E22" i="1"/>
  <c r="H22" i="1" s="1"/>
  <c r="J22" i="1" s="1"/>
  <c r="L22" i="1" s="1"/>
  <c r="E23" i="1"/>
  <c r="H23" i="1" s="1"/>
  <c r="I23" i="1" s="1"/>
  <c r="K23" i="1" s="1"/>
  <c r="E24" i="1"/>
  <c r="F24" i="1" s="1"/>
  <c r="E25" i="1"/>
  <c r="H25" i="1" s="1"/>
  <c r="I25" i="1" s="1"/>
  <c r="K25" i="1" s="1"/>
  <c r="H26" i="1"/>
  <c r="E27" i="1"/>
  <c r="F27" i="1" s="1"/>
  <c r="E28" i="1"/>
  <c r="F28" i="1" s="1"/>
  <c r="E3" i="2" l="1"/>
  <c r="G3" i="2" s="1"/>
  <c r="I3" i="2" s="1"/>
  <c r="E5" i="2"/>
  <c r="E4" i="2"/>
  <c r="J26" i="1"/>
  <c r="L26" i="1" s="1"/>
  <c r="H24" i="1"/>
  <c r="J24" i="1" s="1"/>
  <c r="L24" i="1" s="1"/>
  <c r="I27" i="1"/>
  <c r="K27" i="1" s="1"/>
  <c r="F25" i="1"/>
  <c r="F23" i="1"/>
  <c r="F19" i="1"/>
  <c r="H20" i="1"/>
  <c r="J20" i="1" s="1"/>
  <c r="L20" i="1" s="1"/>
  <c r="F26" i="1"/>
  <c r="F22" i="1"/>
  <c r="H21" i="1"/>
  <c r="I21" i="1" s="1"/>
  <c r="K21" i="1" s="1"/>
  <c r="J18" i="1"/>
  <c r="L18" i="1" s="1"/>
  <c r="F18" i="1"/>
  <c r="H28" i="1"/>
  <c r="I28" i="1" s="1"/>
  <c r="D2" i="1"/>
  <c r="D3" i="1"/>
  <c r="D4" i="1"/>
  <c r="D5" i="1"/>
  <c r="D6" i="1"/>
  <c r="G4" i="2" l="1"/>
  <c r="I4" i="2" s="1"/>
  <c r="G5" i="2"/>
  <c r="I5" i="2" s="1"/>
</calcChain>
</file>

<file path=xl/sharedStrings.xml><?xml version="1.0" encoding="utf-8"?>
<sst xmlns="http://schemas.openxmlformats.org/spreadsheetml/2006/main" count="72" uniqueCount="59">
  <si>
    <t>ADC分辨率</t>
    <phoneticPr fontId="1" type="noConversion"/>
  </si>
  <si>
    <t>量程(mS/cm)</t>
    <phoneticPr fontId="1" type="noConversion"/>
  </si>
  <si>
    <t>跨度(mS/cm)</t>
    <phoneticPr fontId="1" type="noConversion"/>
  </si>
  <si>
    <t>LSB分辨率(mS/cm)</t>
    <phoneticPr fontId="1" type="noConversion"/>
  </si>
  <si>
    <t>2~6</t>
    <phoneticPr fontId="1" type="noConversion"/>
  </si>
  <si>
    <t>参考电压挡位</t>
    <phoneticPr fontId="1" type="noConversion"/>
  </si>
  <si>
    <t>Q</t>
    <phoneticPr fontId="1" type="noConversion"/>
  </si>
  <si>
    <t>Rf</t>
    <phoneticPr fontId="1" type="noConversion"/>
  </si>
  <si>
    <t>Vin</t>
    <phoneticPr fontId="1" type="noConversion"/>
  </si>
  <si>
    <t>k对应的电压幅值</t>
    <phoneticPr fontId="1" type="noConversion"/>
  </si>
  <si>
    <t>k电导率</t>
    <phoneticPr fontId="1" type="noConversion"/>
  </si>
  <si>
    <t xml:space="preserve"> 偏移电压</t>
    <phoneticPr fontId="1" type="noConversion"/>
  </si>
  <si>
    <t>6~9.5</t>
    <phoneticPr fontId="1" type="noConversion"/>
  </si>
  <si>
    <t>9.5~13</t>
    <phoneticPr fontId="1" type="noConversion"/>
  </si>
  <si>
    <t>13~16.5</t>
    <phoneticPr fontId="1" type="noConversion"/>
  </si>
  <si>
    <t>16.5~20</t>
    <phoneticPr fontId="1" type="noConversion"/>
  </si>
  <si>
    <t>量程划分</t>
  </si>
  <si>
    <t>ADC</t>
  </si>
  <si>
    <t>X5</t>
  </si>
  <si>
    <t>ADC0电压</t>
  </si>
  <si>
    <t>ADC1</t>
  </si>
  <si>
    <t>Q</t>
  </si>
  <si>
    <t>Y(ms/cm)</t>
  </si>
  <si>
    <t>Rs(kohm)</t>
  </si>
  <si>
    <t>0-20</t>
  </si>
  <si>
    <t>0-2</t>
  </si>
  <si>
    <t>0-0.2</t>
  </si>
  <si>
    <t>量程范围</t>
  </si>
  <si>
    <t>Vo = (Y*Vin*Rs)/Q *2/PI</t>
  </si>
  <si>
    <t>Gain</t>
  </si>
  <si>
    <t>Vin_p(V)</t>
  </si>
  <si>
    <t>Vo(V) = U5B-7Pin_p(V)</t>
  </si>
  <si>
    <t>量程划分边界</t>
  </si>
  <si>
    <t>直流幅值(V)</t>
  </si>
  <si>
    <t>每量程最大电压范围</t>
  </si>
  <si>
    <t>需升挡电压</t>
  </si>
  <si>
    <t>需升挡adc</t>
  </si>
  <si>
    <t>偏移电压</t>
  </si>
  <si>
    <t>每量程最小电压</t>
  </si>
  <si>
    <t>需降挡adc</t>
  </si>
  <si>
    <t>需降挡电压</t>
  </si>
  <si>
    <t>ADC电压</t>
  </si>
  <si>
    <t>实测ADC电压</t>
  </si>
  <si>
    <t>err</t>
  </si>
  <si>
    <t>传感器读数测量Ymin</t>
  </si>
  <si>
    <t>传感器读数测量Ymax</t>
  </si>
  <si>
    <t>误差min</t>
  </si>
  <si>
    <t>误差max</t>
  </si>
  <si>
    <t xml:space="preserve"> </t>
    <phoneticPr fontId="5" type="noConversion"/>
  </si>
  <si>
    <t>方波转基波</t>
  </si>
  <si>
    <t>Av(num)</t>
    <phoneticPr fontId="5" type="noConversion"/>
  </si>
  <si>
    <t>Av(dB)</t>
    <phoneticPr fontId="5" type="noConversion"/>
  </si>
  <si>
    <t>f(Hz)</t>
    <phoneticPr fontId="5" type="noConversion"/>
  </si>
  <si>
    <t>fc(Hz)</t>
    <phoneticPr fontId="5" type="noConversion"/>
  </si>
  <si>
    <t>C2(nF)</t>
    <phoneticPr fontId="5" type="noConversion"/>
  </si>
  <si>
    <t>R2(kohm)</t>
    <phoneticPr fontId="5" type="noConversion"/>
  </si>
  <si>
    <t>C1(nF)</t>
    <phoneticPr fontId="5" type="noConversion"/>
  </si>
  <si>
    <t>R1(kohm)</t>
    <phoneticPr fontId="5" type="noConversion"/>
  </si>
  <si>
    <t>二阶Sallen-key LPF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</si>
</sst>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_ "/>
    <numFmt numFmtId="166" formatCode="0.00_ "/>
  </numFmts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b/>
      <i/>
      <sz val="11"/>
      <color theme="1"/>
      <name val="等线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0" borderId="7" applyNumberFormat="0" applyFill="0" applyAlignment="0" applyProtection="0"/>
    <xf numFmtId="0" fontId="8" fillId="5" borderId="8" applyNumberFormat="0" applyAlignment="0" applyProtection="0"/>
    <xf numFmtId="0" fontId="9" fillId="6" borderId="9" applyNumberFormat="0" applyAlignment="0" applyProtection="0"/>
    <xf numFmtId="0" fontId="10" fillId="0" borderId="0" applyNumberFormat="0" applyFill="0" applyBorder="0" applyAlignment="0" applyProtection="0"/>
  </cellStyleXfs>
  <cellXfs count="49">
    <xf numFmtId="0" fontId="0" fillId="0" borderId="0" xfId="0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3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1" fontId="0" fillId="0" borderId="0" xfId="0" applyNumberFormat="1">
      <alignment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3" fillId="3" borderId="0" xfId="2" applyAlignment="1">
      <alignment horizontal="center" vertical="center"/>
    </xf>
    <xf numFmtId="164" fontId="4" fillId="4" borderId="0" xfId="3" applyNumberFormat="1" applyAlignment="1">
      <alignment horizontal="center" vertical="center"/>
    </xf>
    <xf numFmtId="164" fontId="3" fillId="3" borderId="0" xfId="2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3" fillId="3" borderId="0" xfId="2" applyNumberFormat="1">
      <alignment vertical="center"/>
    </xf>
    <xf numFmtId="1" fontId="4" fillId="4" borderId="0" xfId="3" applyNumberFormat="1">
      <alignment vertical="center"/>
    </xf>
    <xf numFmtId="0" fontId="0" fillId="0" borderId="2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11" fontId="0" fillId="0" borderId="0" xfId="0" applyNumberFormat="1">
      <alignment vertical="center"/>
    </xf>
    <xf numFmtId="0" fontId="0" fillId="0" borderId="0" xfId="0">
      <alignment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165" fontId="9" fillId="6" borderId="9" xfId="6" applyNumberFormat="1" applyAlignment="1">
      <alignment vertical="center"/>
    </xf>
    <xf numFmtId="2" fontId="0" fillId="0" borderId="0" xfId="0" applyNumberFormat="1">
      <alignment vertical="center"/>
    </xf>
    <xf numFmtId="166" fontId="9" fillId="6" borderId="9" xfId="6" applyNumberFormat="1" applyAlignment="1">
      <alignment vertical="center"/>
    </xf>
    <xf numFmtId="0" fontId="10" fillId="0" borderId="0" xfId="7" applyAlignment="1">
      <alignment vertical="center"/>
    </xf>
    <xf numFmtId="11" fontId="8" fillId="5" borderId="8" xfId="5" applyNumberFormat="1" applyAlignment="1">
      <alignment vertical="center"/>
    </xf>
    <xf numFmtId="11" fontId="9" fillId="6" borderId="9" xfId="6" applyNumberFormat="1" applyAlignment="1">
      <alignment vertical="center"/>
    </xf>
    <xf numFmtId="0" fontId="8" fillId="5" borderId="8" xfId="5" applyAlignment="1">
      <alignment vertical="center"/>
    </xf>
    <xf numFmtId="0" fontId="0" fillId="0" borderId="0" xfId="0" applyAlignment="1">
      <alignment horizontal="center" vertical="center"/>
    </xf>
    <xf numFmtId="0" fontId="2" fillId="2" borderId="0" xfId="1" applyAlignment="1">
      <alignment horizontal="center" vertical="center"/>
    </xf>
    <xf numFmtId="0" fontId="0" fillId="0" borderId="0" xfId="0">
      <alignment vertical="center"/>
    </xf>
    <xf numFmtId="14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7" fillId="0" borderId="7" xfId="4" applyAlignment="1">
      <alignment horizontal="center" vertical="center"/>
    </xf>
  </cellXfs>
  <cellStyles count="8">
    <cellStyle name="标题 3" xfId="4" builtinId="18"/>
    <cellStyle name="差" xfId="3" builtinId="27"/>
    <cellStyle name="常规" xfId="0" builtinId="0"/>
    <cellStyle name="好" xfId="2" builtinId="26"/>
    <cellStyle name="解释性文本" xfId="7" builtinId="53"/>
    <cellStyle name="适中" xfId="1" builtinId="28"/>
    <cellStyle name="输出" xfId="6" builtinId="21"/>
    <cellStyle name="输入" xfId="5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电导率（</a:t>
            </a:r>
            <a:r>
              <a:rPr lang="en-US" altLang="zh-CN"/>
              <a:t>ms/cm</a:t>
            </a:r>
            <a:r>
              <a:rPr lang="zh-CN" altLang="en-US"/>
              <a:t>）与</a:t>
            </a:r>
            <a:r>
              <a:rPr lang="en-US" altLang="zh-CN"/>
              <a:t>adc</a:t>
            </a:r>
            <a:r>
              <a:rPr lang="zh-CN" altLang="en-US"/>
              <a:t>电压（</a:t>
            </a:r>
            <a:r>
              <a:rPr lang="en-US" altLang="zh-CN"/>
              <a:t>mV</a:t>
            </a:r>
            <a:r>
              <a:rPr lang="zh-CN" altLang="en-US"/>
              <a:t>）关系</a:t>
            </a:r>
            <a:endParaRPr lang="zh-SG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SG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SG"/>
                </a:p>
              </c:txPr>
            </c:trendlineLbl>
          </c:trendline>
          <c:xVal>
            <c:numRef>
              <c:f>'DS132'!$D$18:$D$28</c:f>
              <c:numCache>
                <c:formatCode>General</c:formatCode>
                <c:ptCount val="11"/>
                <c:pt idx="0">
                  <c:v>3.2</c:v>
                </c:pt>
                <c:pt idx="1">
                  <c:v>4</c:v>
                </c:pt>
                <c:pt idx="2">
                  <c:v>6.4</c:v>
                </c:pt>
                <c:pt idx="3">
                  <c:v>7.2</c:v>
                </c:pt>
                <c:pt idx="4">
                  <c:v>9.6</c:v>
                </c:pt>
                <c:pt idx="5">
                  <c:v>10.4</c:v>
                </c:pt>
                <c:pt idx="6">
                  <c:v>12.8</c:v>
                </c:pt>
                <c:pt idx="7">
                  <c:v>13.6</c:v>
                </c:pt>
                <c:pt idx="8">
                  <c:v>16</c:v>
                </c:pt>
                <c:pt idx="9">
                  <c:v>16.8</c:v>
                </c:pt>
                <c:pt idx="10">
                  <c:v>20</c:v>
                </c:pt>
              </c:numCache>
            </c:numRef>
          </c:xVal>
          <c:yVal>
            <c:numRef>
              <c:f>'DS132'!$E$18:$E$28</c:f>
              <c:numCache>
                <c:formatCode>0.000</c:formatCode>
                <c:ptCount val="11"/>
                <c:pt idx="0">
                  <c:v>0.53279187817258888</c:v>
                </c:pt>
                <c:pt idx="1">
                  <c:v>0.66598984771573599</c:v>
                </c:pt>
                <c:pt idx="2">
                  <c:v>1.0655837563451778</c:v>
                </c:pt>
                <c:pt idx="3">
                  <c:v>1.1987817258883251</c:v>
                </c:pt>
                <c:pt idx="4">
                  <c:v>1.5983756345177664</c:v>
                </c:pt>
                <c:pt idx="5">
                  <c:v>1.7315736040609138</c:v>
                </c:pt>
                <c:pt idx="6">
                  <c:v>2.1311675126903555</c:v>
                </c:pt>
                <c:pt idx="7">
                  <c:v>2.2643654822335026</c:v>
                </c:pt>
                <c:pt idx="8">
                  <c:v>2.663959390862944</c:v>
                </c:pt>
                <c:pt idx="9">
                  <c:v>2.797157360406092</c:v>
                </c:pt>
                <c:pt idx="10">
                  <c:v>3.3299492385786804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A6-4CEE-8AE5-90D2C50B8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662016"/>
        <c:axId val="595230544"/>
      </c:scatterChart>
      <c:valAx>
        <c:axId val="73766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SG"/>
          </a:p>
        </c:txPr>
        <c:crossAx val="595230544"/>
        <c:crosses val="autoZero"/>
        <c:crossBetween val="midCat"/>
      </c:valAx>
      <c:valAx>
        <c:axId val="59523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SG"/>
          </a:p>
        </c:txPr>
        <c:crossAx val="73766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S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64051</xdr:colOff>
      <xdr:row>5</xdr:row>
      <xdr:rowOff>78945</xdr:rowOff>
    </xdr:from>
    <xdr:to>
      <xdr:col>8</xdr:col>
      <xdr:colOff>1085238</xdr:colOff>
      <xdr:row>10</xdr:row>
      <xdr:rowOff>153450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5360EB-6F45-BF1B-E838-E92798B30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522251" y="983820"/>
          <a:ext cx="3631037" cy="979380"/>
        </a:xfrm>
        <a:prstGeom prst="rect">
          <a:avLst/>
        </a:prstGeom>
      </xdr:spPr>
    </xdr:pic>
    <xdr:clientData/>
  </xdr:twoCellAnchor>
  <xdr:twoCellAnchor>
    <xdr:from>
      <xdr:col>3</xdr:col>
      <xdr:colOff>4762</xdr:colOff>
      <xdr:row>29</xdr:row>
      <xdr:rowOff>138112</xdr:rowOff>
    </xdr:from>
    <xdr:to>
      <xdr:col>6</xdr:col>
      <xdr:colOff>185737</xdr:colOff>
      <xdr:row>44</xdr:row>
      <xdr:rowOff>166687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9C87995-163A-42CB-9271-8B10B0F3A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10F4-F7E9-43F9-9318-BBE759CD88BF}">
  <dimension ref="A1:U54"/>
  <sheetViews>
    <sheetView zoomScale="130" zoomScaleNormal="130" workbookViewId="0">
      <selection activeCell="A45" sqref="A45"/>
    </sheetView>
  </sheetViews>
  <sheetFormatPr defaultRowHeight="14.25" x14ac:dyDescent="0.2"/>
  <cols>
    <col min="1" max="2" width="15.125" customWidth="1"/>
    <col min="3" max="3" width="23.125" customWidth="1"/>
    <col min="4" max="4" width="28" customWidth="1"/>
    <col min="5" max="5" width="14.75" customWidth="1"/>
    <col min="6" max="6" width="14.875" customWidth="1"/>
    <col min="7" max="7" width="15.875" customWidth="1"/>
    <col min="8" max="8" width="18.375" customWidth="1"/>
    <col min="9" max="9" width="20.25" customWidth="1"/>
    <col min="10" max="10" width="22.625" customWidth="1"/>
    <col min="11" max="11" width="17.75" customWidth="1"/>
    <col min="12" max="12" width="17.125" customWidth="1"/>
    <col min="13" max="13" width="16.375" customWidth="1"/>
  </cols>
  <sheetData>
    <row r="1" spans="1:10" x14ac:dyDescent="0.2">
      <c r="A1" t="s">
        <v>1</v>
      </c>
      <c r="B1" t="s">
        <v>2</v>
      </c>
      <c r="C1" t="s">
        <v>0</v>
      </c>
      <c r="D1" t="s">
        <v>3</v>
      </c>
      <c r="E1" t="s">
        <v>5</v>
      </c>
    </row>
    <row r="2" spans="1:10" x14ac:dyDescent="0.2">
      <c r="A2" s="2" t="s">
        <v>4</v>
      </c>
      <c r="B2" s="2">
        <v>4</v>
      </c>
      <c r="C2" s="2">
        <v>4000</v>
      </c>
      <c r="D2" s="2">
        <f>B2/C2</f>
        <v>1E-3</v>
      </c>
    </row>
    <row r="3" spans="1:10" x14ac:dyDescent="0.2">
      <c r="A3" s="2" t="s">
        <v>12</v>
      </c>
      <c r="B3" s="2">
        <v>3.5</v>
      </c>
      <c r="C3" s="2">
        <v>4000</v>
      </c>
      <c r="D3" s="2">
        <f>B3/C3</f>
        <v>8.7500000000000002E-4</v>
      </c>
    </row>
    <row r="4" spans="1:10" x14ac:dyDescent="0.2">
      <c r="A4" s="1" t="s">
        <v>13</v>
      </c>
      <c r="B4" s="2">
        <v>3.5</v>
      </c>
      <c r="C4" s="2">
        <v>4000</v>
      </c>
      <c r="D4" s="2">
        <f>B4/C4</f>
        <v>8.7500000000000002E-4</v>
      </c>
    </row>
    <row r="5" spans="1:10" x14ac:dyDescent="0.2">
      <c r="A5" s="2" t="s">
        <v>14</v>
      </c>
      <c r="B5" s="2">
        <v>3.5</v>
      </c>
      <c r="C5" s="2">
        <v>4000</v>
      </c>
      <c r="D5" s="2">
        <f>B5/C5</f>
        <v>8.7500000000000002E-4</v>
      </c>
    </row>
    <row r="6" spans="1:10" x14ac:dyDescent="0.2">
      <c r="A6" s="2" t="s">
        <v>15</v>
      </c>
      <c r="B6" s="2">
        <v>3.5</v>
      </c>
      <c r="C6" s="2">
        <v>4000</v>
      </c>
      <c r="D6" s="2">
        <f>B6/C6</f>
        <v>8.7500000000000002E-4</v>
      </c>
    </row>
    <row r="8" spans="1:10" x14ac:dyDescent="0.2">
      <c r="A8" s="2"/>
      <c r="B8" s="2"/>
      <c r="C8" s="9"/>
      <c r="D8" s="9"/>
    </row>
    <row r="9" spans="1:10" x14ac:dyDescent="0.2">
      <c r="A9" s="2"/>
      <c r="B9" s="2"/>
      <c r="D9" s="38" t="s">
        <v>16</v>
      </c>
      <c r="E9" s="38"/>
    </row>
    <row r="10" spans="1:10" x14ac:dyDescent="0.2">
      <c r="A10" s="2"/>
      <c r="B10" s="2"/>
      <c r="D10" s="3">
        <v>0</v>
      </c>
      <c r="E10" s="10">
        <v>4</v>
      </c>
      <c r="F10" s="39"/>
      <c r="G10" s="39"/>
      <c r="H10" s="39"/>
      <c r="I10" s="39"/>
      <c r="J10" s="39"/>
    </row>
    <row r="11" spans="1:10" x14ac:dyDescent="0.2">
      <c r="A11" s="2"/>
      <c r="B11" s="2"/>
      <c r="D11" s="3">
        <v>3.2</v>
      </c>
      <c r="E11" s="10">
        <v>7.2</v>
      </c>
    </row>
    <row r="12" spans="1:10" x14ac:dyDescent="0.2">
      <c r="A12" s="2"/>
      <c r="B12" s="2"/>
      <c r="D12" s="3">
        <v>6.4</v>
      </c>
      <c r="E12" s="10">
        <v>10.4</v>
      </c>
    </row>
    <row r="13" spans="1:10" x14ac:dyDescent="0.2">
      <c r="A13" s="2"/>
      <c r="B13" s="2"/>
      <c r="D13" s="3">
        <v>9.6</v>
      </c>
      <c r="E13" s="10">
        <v>13.6</v>
      </c>
    </row>
    <row r="14" spans="1:10" x14ac:dyDescent="0.2">
      <c r="A14" s="2"/>
      <c r="B14" s="2"/>
      <c r="D14" s="3">
        <v>12.8</v>
      </c>
      <c r="E14" s="10">
        <v>16.8</v>
      </c>
    </row>
    <row r="15" spans="1:10" x14ac:dyDescent="0.2">
      <c r="D15" s="3">
        <v>16</v>
      </c>
      <c r="E15" s="10">
        <v>20</v>
      </c>
    </row>
    <row r="16" spans="1:10" x14ac:dyDescent="0.2">
      <c r="A16" s="40">
        <v>45806</v>
      </c>
      <c r="B16" s="37"/>
      <c r="C16" s="37"/>
      <c r="D16" s="37"/>
      <c r="E16" s="37"/>
      <c r="F16" s="37"/>
      <c r="G16" s="37"/>
      <c r="H16" s="2"/>
    </row>
    <row r="17" spans="1:21" x14ac:dyDescent="0.2">
      <c r="A17" s="2" t="s">
        <v>8</v>
      </c>
      <c r="B17" s="2" t="s">
        <v>7</v>
      </c>
      <c r="C17" s="2" t="s">
        <v>6</v>
      </c>
      <c r="D17" s="2" t="s">
        <v>10</v>
      </c>
      <c r="E17" s="2" t="s">
        <v>9</v>
      </c>
      <c r="F17" s="2" t="s">
        <v>20</v>
      </c>
      <c r="G17" s="2" t="s">
        <v>11</v>
      </c>
      <c r="H17" s="4" t="s">
        <v>19</v>
      </c>
      <c r="I17" s="37" t="s">
        <v>18</v>
      </c>
      <c r="J17" s="37"/>
      <c r="K17" s="37" t="s">
        <v>17</v>
      </c>
      <c r="L17" s="37"/>
    </row>
    <row r="18" spans="1:21" x14ac:dyDescent="0.2">
      <c r="A18" s="38">
        <v>0.2</v>
      </c>
      <c r="B18" s="38">
        <v>820</v>
      </c>
      <c r="C18" s="37">
        <v>0.98499999999999999</v>
      </c>
      <c r="D18" s="3">
        <v>3.2</v>
      </c>
      <c r="E18" s="7">
        <f>D18*$A$18*$B$18/$C$18/1000</f>
        <v>0.53279187817258888</v>
      </c>
      <c r="F18" s="8">
        <f>E18/3.3*4095</f>
        <v>661.14628518689437</v>
      </c>
      <c r="G18" s="37">
        <v>0</v>
      </c>
      <c r="H18" s="11">
        <f>E18-G20</f>
        <v>0.2367918781725889</v>
      </c>
      <c r="J18" s="13">
        <f>H18*5</f>
        <v>1.1839593908629444</v>
      </c>
      <c r="K18" s="6"/>
      <c r="L18" s="15">
        <f>J18*4095/3.3</f>
        <v>1469.1859713890176</v>
      </c>
    </row>
    <row r="19" spans="1:21" x14ac:dyDescent="0.2">
      <c r="A19" s="38"/>
      <c r="B19" s="38"/>
      <c r="C19" s="37"/>
      <c r="D19" s="10">
        <v>4</v>
      </c>
      <c r="E19" s="7">
        <f t="shared" ref="E19:E28" si="0">D19*$A$18*$B$18/$C$18/1000</f>
        <v>0.66598984771573599</v>
      </c>
      <c r="F19" s="8">
        <f t="shared" ref="F19:F28" si="1">E19/3.3*4095</f>
        <v>826.43285648361791</v>
      </c>
      <c r="G19" s="37"/>
      <c r="H19" s="12">
        <f>E19-G18</f>
        <v>0.66598984771573599</v>
      </c>
      <c r="I19" s="13">
        <f t="shared" ref="I19:I28" si="2">H19*5</f>
        <v>3.32994923857868</v>
      </c>
      <c r="J19" s="7"/>
      <c r="K19" s="14">
        <f>I19*4095/3.3</f>
        <v>4132.164282418089</v>
      </c>
      <c r="L19" s="6"/>
    </row>
    <row r="20" spans="1:21" x14ac:dyDescent="0.2">
      <c r="A20" s="38"/>
      <c r="B20" s="38"/>
      <c r="C20" s="37"/>
      <c r="D20" s="3">
        <v>6.4</v>
      </c>
      <c r="E20" s="7">
        <f>D20*$A$18*$B$18/$C$18/1000</f>
        <v>1.0655837563451778</v>
      </c>
      <c r="F20" s="8">
        <f t="shared" si="1"/>
        <v>1322.2925703737887</v>
      </c>
      <c r="G20" s="37">
        <v>0.29599999999999999</v>
      </c>
      <c r="H20" s="11">
        <f>E20-G22</f>
        <v>0.19158375634517777</v>
      </c>
      <c r="J20" s="13">
        <f>H20*5</f>
        <v>0.95791878172588885</v>
      </c>
      <c r="K20" s="6"/>
      <c r="L20" s="15">
        <f>J20*4095/3.3</f>
        <v>1188.6901245962167</v>
      </c>
    </row>
    <row r="21" spans="1:21" x14ac:dyDescent="0.2">
      <c r="A21" s="38"/>
      <c r="B21" s="38"/>
      <c r="C21" s="37"/>
      <c r="D21" s="10">
        <v>7.2</v>
      </c>
      <c r="E21" s="7">
        <f>D21*$A$18*$B$18/$C$18/1000</f>
        <v>1.1987817258883251</v>
      </c>
      <c r="F21" s="8">
        <f t="shared" si="1"/>
        <v>1487.5791416705126</v>
      </c>
      <c r="G21" s="37"/>
      <c r="H21" s="12">
        <f t="shared" ref="H21" si="3">E21-G20</f>
        <v>0.90278172588832506</v>
      </c>
      <c r="I21" s="13">
        <f t="shared" si="2"/>
        <v>4.5139086294416249</v>
      </c>
      <c r="J21" s="7"/>
      <c r="K21" s="14">
        <f t="shared" ref="K21:K27" si="4">I21*4095/3.3</f>
        <v>5601.3502538071079</v>
      </c>
      <c r="L21" s="6"/>
    </row>
    <row r="22" spans="1:21" x14ac:dyDescent="0.2">
      <c r="A22" s="38"/>
      <c r="B22" s="38"/>
      <c r="C22" s="37"/>
      <c r="D22" s="3">
        <v>9.6</v>
      </c>
      <c r="E22" s="7">
        <f t="shared" si="0"/>
        <v>1.5983756345177664</v>
      </c>
      <c r="F22" s="8">
        <f t="shared" si="1"/>
        <v>1983.4388555606829</v>
      </c>
      <c r="G22" s="37">
        <v>0.874</v>
      </c>
      <c r="H22" s="11">
        <f>E22-G24</f>
        <v>0.20337563451776641</v>
      </c>
      <c r="J22" s="13">
        <f>H22*5</f>
        <v>1.0168781725888321</v>
      </c>
      <c r="K22" s="6"/>
      <c r="L22" s="15">
        <f>J22*4095/3.3</f>
        <v>1261.8533687125052</v>
      </c>
    </row>
    <row r="23" spans="1:21" x14ac:dyDescent="0.2">
      <c r="A23" s="38"/>
      <c r="B23" s="38"/>
      <c r="C23" s="37"/>
      <c r="D23" s="10">
        <v>10.4</v>
      </c>
      <c r="E23" s="7">
        <f t="shared" si="0"/>
        <v>1.7315736040609138</v>
      </c>
      <c r="F23" s="8">
        <f t="shared" si="1"/>
        <v>2148.7254268574065</v>
      </c>
      <c r="G23" s="37"/>
      <c r="H23" s="12">
        <f t="shared" ref="H23" si="5">E23-G22</f>
        <v>0.85757360406091376</v>
      </c>
      <c r="I23" s="13">
        <f t="shared" si="2"/>
        <v>4.2878680203045691</v>
      </c>
      <c r="J23" s="7"/>
      <c r="K23" s="14">
        <f t="shared" si="4"/>
        <v>5320.8544070143071</v>
      </c>
      <c r="L23" s="6"/>
    </row>
    <row r="24" spans="1:21" x14ac:dyDescent="0.2">
      <c r="A24" s="38"/>
      <c r="B24" s="38"/>
      <c r="C24" s="37"/>
      <c r="D24" s="3">
        <v>12.8</v>
      </c>
      <c r="E24" s="7">
        <f t="shared" si="0"/>
        <v>2.1311675126903555</v>
      </c>
      <c r="F24" s="8">
        <f t="shared" si="1"/>
        <v>2644.5851407475775</v>
      </c>
      <c r="G24" s="37">
        <v>1.395</v>
      </c>
      <c r="H24" s="11">
        <f>E24-G26</f>
        <v>0.32716751269035549</v>
      </c>
      <c r="J24" s="13">
        <f>H24*5</f>
        <v>1.6358375634517774</v>
      </c>
      <c r="K24" s="6"/>
      <c r="L24" s="15">
        <f>J24*4095/3.3</f>
        <v>2029.9257037378875</v>
      </c>
    </row>
    <row r="25" spans="1:21" x14ac:dyDescent="0.2">
      <c r="A25" s="2"/>
      <c r="B25" s="2"/>
      <c r="C25" s="2"/>
      <c r="D25" s="10">
        <v>13.6</v>
      </c>
      <c r="E25" s="7">
        <f t="shared" si="0"/>
        <v>2.2643654822335026</v>
      </c>
      <c r="F25" s="8">
        <f t="shared" si="1"/>
        <v>2809.8717120443011</v>
      </c>
      <c r="G25" s="37"/>
      <c r="H25" s="12">
        <f t="shared" ref="H25" si="6">E25-G24</f>
        <v>0.86936548223350263</v>
      </c>
      <c r="I25" s="13">
        <f t="shared" si="2"/>
        <v>4.3468274111675136</v>
      </c>
      <c r="K25" s="14">
        <f t="shared" si="4"/>
        <v>5394.0176511305963</v>
      </c>
      <c r="L25" s="6"/>
    </row>
    <row r="26" spans="1:21" x14ac:dyDescent="0.2">
      <c r="A26" s="2"/>
      <c r="B26" s="2"/>
      <c r="C26" s="2"/>
      <c r="D26" s="3">
        <v>16</v>
      </c>
      <c r="E26" s="7">
        <f>D26*$A$18*$B$18/$C$18/1000</f>
        <v>2.663959390862944</v>
      </c>
      <c r="F26" s="8">
        <f t="shared" si="1"/>
        <v>3305.7314259344716</v>
      </c>
      <c r="G26" s="37">
        <v>1.804</v>
      </c>
      <c r="H26" s="11">
        <f>E26-G28</f>
        <v>0.27695939086294397</v>
      </c>
      <c r="J26" s="13">
        <f>H26*5</f>
        <v>1.3847969543147198</v>
      </c>
      <c r="K26" s="6"/>
      <c r="L26" s="15">
        <f>J26*4095/3.3</f>
        <v>1718.4071296723569</v>
      </c>
    </row>
    <row r="27" spans="1:21" x14ac:dyDescent="0.2">
      <c r="D27" s="10">
        <v>16.8</v>
      </c>
      <c r="E27" s="7">
        <f t="shared" si="0"/>
        <v>2.797157360406092</v>
      </c>
      <c r="F27" s="8">
        <f t="shared" si="1"/>
        <v>3471.0179972311957</v>
      </c>
      <c r="G27" s="37"/>
      <c r="H27" s="12">
        <f>E27-G26</f>
        <v>0.99315736040609193</v>
      </c>
      <c r="I27" s="13">
        <f t="shared" si="2"/>
        <v>4.9657868020304594</v>
      </c>
      <c r="K27" s="14">
        <f t="shared" si="4"/>
        <v>6162.0899861559801</v>
      </c>
    </row>
    <row r="28" spans="1:21" x14ac:dyDescent="0.2">
      <c r="D28" s="10">
        <v>20</v>
      </c>
      <c r="E28" s="7">
        <f t="shared" si="0"/>
        <v>3.3299492385786804</v>
      </c>
      <c r="F28" s="8">
        <f t="shared" si="1"/>
        <v>4132.1642824180899</v>
      </c>
      <c r="G28" s="4">
        <v>2.387</v>
      </c>
      <c r="H28" s="7">
        <f t="shared" ref="H28" si="7">E28-G28</f>
        <v>0.9429492385786804</v>
      </c>
      <c r="I28" s="13">
        <f t="shared" si="2"/>
        <v>4.7147461928934025</v>
      </c>
      <c r="K28" s="6"/>
    </row>
    <row r="29" spans="1:21" x14ac:dyDescent="0.2">
      <c r="G29" s="4"/>
    </row>
    <row r="30" spans="1:21" x14ac:dyDescent="0.2"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x14ac:dyDescent="0.2">
      <c r="C31" s="5"/>
      <c r="D31" s="5"/>
      <c r="E31" s="5"/>
      <c r="F31" s="5"/>
      <c r="H31" s="2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x14ac:dyDescent="0.2">
      <c r="C32" s="5"/>
      <c r="D32" s="5"/>
      <c r="E32" s="5"/>
      <c r="F32" s="5"/>
      <c r="H32" s="2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3:21" x14ac:dyDescent="0.2">
      <c r="C33" s="5"/>
      <c r="D33" s="5"/>
      <c r="E33" s="5"/>
      <c r="F33" s="5"/>
      <c r="H33" s="2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3:21" x14ac:dyDescent="0.2">
      <c r="C34" s="5"/>
      <c r="D34" s="5"/>
      <c r="E34" s="5"/>
      <c r="F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3:21" x14ac:dyDescent="0.2">
      <c r="C35" s="5"/>
      <c r="D35" s="5"/>
      <c r="E35" s="5"/>
      <c r="F35" s="5"/>
      <c r="I35" s="2"/>
      <c r="J35" s="2"/>
      <c r="K35" s="2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3:21" x14ac:dyDescent="0.2">
      <c r="C36" s="5"/>
      <c r="D36" s="5"/>
      <c r="E36" s="5"/>
      <c r="F36" s="5"/>
      <c r="I36" s="2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3:21" x14ac:dyDescent="0.2">
      <c r="C37" s="5"/>
      <c r="D37" s="5"/>
      <c r="E37" s="5"/>
      <c r="F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3:21" x14ac:dyDescent="0.2">
      <c r="C38" s="5"/>
      <c r="D38" s="5"/>
      <c r="E38" s="5"/>
      <c r="F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3:21" x14ac:dyDescent="0.2">
      <c r="C39" s="5"/>
      <c r="D39" s="5"/>
      <c r="E39" s="5"/>
      <c r="F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3:21" x14ac:dyDescent="0.2">
      <c r="C40" s="5"/>
      <c r="D40" s="5"/>
      <c r="E40" s="5"/>
      <c r="F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3:21" x14ac:dyDescent="0.2">
      <c r="C41" s="5"/>
      <c r="D41" s="5"/>
      <c r="E41" s="5"/>
      <c r="F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3:21" x14ac:dyDescent="0.2">
      <c r="C42" s="5"/>
      <c r="D42" s="5"/>
      <c r="E42" s="5"/>
      <c r="F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3:21" x14ac:dyDescent="0.2"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3:21" x14ac:dyDescent="0.2"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3:21" x14ac:dyDescent="0.2"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3:21" x14ac:dyDescent="0.2"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3:21" x14ac:dyDescent="0.2"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3:21" x14ac:dyDescent="0.2"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2:21" x14ac:dyDescent="0.2"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2:21" x14ac:dyDescent="0.2"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2:21" x14ac:dyDescent="0.2"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2:21" x14ac:dyDescent="0.2"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2:21" x14ac:dyDescent="0.2"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2:21" x14ac:dyDescent="0.2">
      <c r="L54" s="5"/>
      <c r="M54" s="5"/>
      <c r="N54" s="5"/>
      <c r="O54" s="5"/>
      <c r="P54" s="5"/>
      <c r="Q54" s="5"/>
      <c r="R54" s="5"/>
      <c r="S54" s="5"/>
      <c r="T54" s="5"/>
      <c r="U54" s="5"/>
    </row>
  </sheetData>
  <mergeCells count="13">
    <mergeCell ref="G24:G25"/>
    <mergeCell ref="G26:G27"/>
    <mergeCell ref="F10:J10"/>
    <mergeCell ref="A16:G16"/>
    <mergeCell ref="A18:A24"/>
    <mergeCell ref="B18:B24"/>
    <mergeCell ref="C18:C24"/>
    <mergeCell ref="I17:J17"/>
    <mergeCell ref="K17:L17"/>
    <mergeCell ref="D9:E9"/>
    <mergeCell ref="G18:G19"/>
    <mergeCell ref="G20:G21"/>
    <mergeCell ref="G22:G2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1524-3A25-4819-8970-A74234F29DC9}">
  <sheetPr>
    <pageSetUpPr fitToPage="1"/>
  </sheetPr>
  <dimension ref="A1:N29"/>
  <sheetViews>
    <sheetView tabSelected="1" zoomScaleNormal="100" workbookViewId="0">
      <selection activeCell="O4" sqref="O4"/>
    </sheetView>
  </sheetViews>
  <sheetFormatPr defaultRowHeight="14.25" x14ac:dyDescent="0.2"/>
  <cols>
    <col min="5" max="9" width="20.625" customWidth="1"/>
    <col min="11" max="11" width="19.375" customWidth="1"/>
  </cols>
  <sheetData>
    <row r="1" spans="1:14" s="21" customFormat="1" ht="30" customHeight="1" thickBot="1" x14ac:dyDescent="0.25">
      <c r="A1" s="44" t="s">
        <v>28</v>
      </c>
      <c r="B1" s="44"/>
      <c r="C1" s="44"/>
      <c r="D1" s="44"/>
      <c r="E1" s="44"/>
      <c r="F1" s="44"/>
      <c r="G1" s="44"/>
      <c r="H1" s="44"/>
      <c r="I1" s="44"/>
      <c r="J1" s="44"/>
    </row>
    <row r="2" spans="1:14" s="21" customFormat="1" ht="30" customHeight="1" x14ac:dyDescent="0.2">
      <c r="A2" s="17" t="s">
        <v>23</v>
      </c>
      <c r="B2" s="17" t="s">
        <v>22</v>
      </c>
      <c r="C2" s="17" t="s">
        <v>30</v>
      </c>
      <c r="D2" s="17" t="s">
        <v>21</v>
      </c>
      <c r="E2" s="17" t="s">
        <v>31</v>
      </c>
      <c r="F2" s="17" t="s">
        <v>29</v>
      </c>
      <c r="G2" s="17" t="s">
        <v>33</v>
      </c>
      <c r="H2" s="17" t="s">
        <v>29</v>
      </c>
      <c r="I2" s="17" t="s">
        <v>17</v>
      </c>
      <c r="J2" s="17" t="s">
        <v>27</v>
      </c>
    </row>
    <row r="3" spans="1:14" s="21" customFormat="1" ht="30" customHeight="1" x14ac:dyDescent="0.2">
      <c r="A3" s="45">
        <v>0.82</v>
      </c>
      <c r="B3" s="16">
        <v>12.85</v>
      </c>
      <c r="C3" s="41">
        <v>0.19</v>
      </c>
      <c r="D3" s="41">
        <v>1.0389999999999999</v>
      </c>
      <c r="E3" s="16">
        <f>$A$3*B3*$C$3/$D$3</f>
        <v>1.926881616939365</v>
      </c>
      <c r="F3" s="41">
        <f>2/PI()*0.88</f>
        <v>0.56022539968347163</v>
      </c>
      <c r="G3" s="16">
        <f>E3*$F$3</f>
        <v>1.0794880239925899</v>
      </c>
      <c r="H3" s="41">
        <f>2</f>
        <v>2</v>
      </c>
      <c r="I3" s="16">
        <f>G3*$H$3</f>
        <v>2.1589760479851798</v>
      </c>
      <c r="J3" s="41" t="s">
        <v>24</v>
      </c>
    </row>
    <row r="4" spans="1:14" s="21" customFormat="1" ht="30" customHeight="1" x14ac:dyDescent="0.2">
      <c r="A4" s="45"/>
      <c r="B4" s="16">
        <v>1.413</v>
      </c>
      <c r="C4" s="42"/>
      <c r="D4" s="42"/>
      <c r="E4" s="16">
        <f>$A$3*B4*$C$3/$D$3</f>
        <v>0.21188200192492784</v>
      </c>
      <c r="F4" s="42"/>
      <c r="G4" s="22">
        <f t="shared" ref="G4:G5" si="0">E4*$F$3</f>
        <v>0.1187016792141268</v>
      </c>
      <c r="H4" s="42"/>
      <c r="I4" s="19">
        <f>G4*$H$3</f>
        <v>0.23740335842825361</v>
      </c>
      <c r="J4" s="42"/>
    </row>
    <row r="5" spans="1:14" s="21" customFormat="1" ht="30" customHeight="1" x14ac:dyDescent="0.2">
      <c r="A5" s="45"/>
      <c r="B5" s="16">
        <v>0.14649999999999999</v>
      </c>
      <c r="C5" s="43"/>
      <c r="D5" s="43"/>
      <c r="E5" s="16">
        <f>$A$3*B5*$C$3/$D$3</f>
        <v>2.1967949951876804E-2</v>
      </c>
      <c r="F5" s="43"/>
      <c r="G5" s="22">
        <f t="shared" si="0"/>
        <v>1.2307003542016684E-2</v>
      </c>
      <c r="H5" s="43"/>
      <c r="I5" s="19">
        <f>G5*$H$3</f>
        <v>2.4614007084033367E-2</v>
      </c>
      <c r="J5" s="43"/>
    </row>
    <row r="6" spans="1:14" s="21" customFormat="1" ht="30" customHeight="1" x14ac:dyDescent="0.2"/>
    <row r="7" spans="1:14" s="21" customFormat="1" ht="30" customHeight="1" x14ac:dyDescent="0.2">
      <c r="A7" s="17" t="s">
        <v>23</v>
      </c>
      <c r="B7" s="17" t="s">
        <v>22</v>
      </c>
      <c r="C7" s="17" t="s">
        <v>30</v>
      </c>
      <c r="D7" s="17" t="s">
        <v>21</v>
      </c>
      <c r="E7" s="17" t="s">
        <v>31</v>
      </c>
      <c r="F7" s="17" t="s">
        <v>29</v>
      </c>
      <c r="G7" s="17" t="s">
        <v>33</v>
      </c>
      <c r="H7" s="17" t="s">
        <v>29</v>
      </c>
      <c r="I7" s="17" t="s">
        <v>41</v>
      </c>
      <c r="J7" s="17" t="s">
        <v>27</v>
      </c>
      <c r="K7" s="26" t="s">
        <v>42</v>
      </c>
      <c r="L7" s="26" t="s">
        <v>43</v>
      </c>
    </row>
    <row r="8" spans="1:14" s="21" customFormat="1" ht="30" customHeight="1" x14ac:dyDescent="0.2">
      <c r="A8" s="45">
        <v>0.82</v>
      </c>
      <c r="B8" s="41">
        <v>12.85</v>
      </c>
      <c r="C8" s="45">
        <v>0.19</v>
      </c>
      <c r="D8" s="45">
        <v>1.0389999999999999</v>
      </c>
      <c r="E8" s="41">
        <f>A8*B8*C8/D8</f>
        <v>1.926881616939365</v>
      </c>
      <c r="F8" s="41">
        <f>2/PI()*0.88</f>
        <v>0.56022539968347163</v>
      </c>
      <c r="G8" s="41">
        <f>E8*F8</f>
        <v>1.0794880239925899</v>
      </c>
      <c r="H8" s="41">
        <f>2</f>
        <v>2</v>
      </c>
      <c r="I8" s="41">
        <f>G8*$H$3</f>
        <v>2.1589760479851798</v>
      </c>
      <c r="J8" s="41" t="s">
        <v>24</v>
      </c>
      <c r="K8" s="46">
        <v>2.1309999999999998</v>
      </c>
      <c r="L8" s="47">
        <f>K8/I8-1</f>
        <v>-1.2958016839180853E-2</v>
      </c>
    </row>
    <row r="9" spans="1:14" ht="14.25" customHeight="1" x14ac:dyDescent="0.2">
      <c r="A9" s="45"/>
      <c r="B9" s="42"/>
      <c r="C9" s="45"/>
      <c r="D9" s="45"/>
      <c r="E9" s="42"/>
      <c r="F9" s="42"/>
      <c r="G9" s="42"/>
      <c r="H9" s="42"/>
      <c r="I9" s="42"/>
      <c r="J9" s="42"/>
      <c r="K9" s="46"/>
      <c r="L9" s="47"/>
      <c r="M9" s="21"/>
      <c r="N9" s="21"/>
    </row>
    <row r="10" spans="1:14" x14ac:dyDescent="0.2">
      <c r="A10" s="45"/>
      <c r="B10" s="43"/>
      <c r="C10" s="45"/>
      <c r="D10" s="45"/>
      <c r="E10" s="43"/>
      <c r="F10" s="43"/>
      <c r="G10" s="43"/>
      <c r="H10" s="42"/>
      <c r="I10" s="43"/>
      <c r="J10" s="43"/>
      <c r="K10" s="46"/>
      <c r="L10" s="47"/>
    </row>
    <row r="11" spans="1:14" x14ac:dyDescent="0.2">
      <c r="A11" s="45">
        <v>8.1999999999999993</v>
      </c>
      <c r="B11" s="41">
        <v>1.413</v>
      </c>
      <c r="C11" s="45"/>
      <c r="D11" s="45"/>
      <c r="E11" s="41">
        <f>A11*B11*C8/D8</f>
        <v>2.1188200192492785</v>
      </c>
      <c r="F11" s="41">
        <f>2/PI()*0.6</f>
        <v>0.38197186342054884</v>
      </c>
      <c r="G11" s="41">
        <f>E11*F11</f>
        <v>0.80932963100541011</v>
      </c>
      <c r="H11" s="42"/>
      <c r="I11" s="41">
        <f>G11*$H$3</f>
        <v>1.6186592620108202</v>
      </c>
      <c r="J11" s="41" t="s">
        <v>25</v>
      </c>
      <c r="K11" s="46">
        <v>1.667</v>
      </c>
      <c r="L11" s="47">
        <f>K11/I11-1</f>
        <v>2.9864678208511464E-2</v>
      </c>
    </row>
    <row r="12" spans="1:14" x14ac:dyDescent="0.2">
      <c r="A12" s="45"/>
      <c r="B12" s="43"/>
      <c r="C12" s="45"/>
      <c r="D12" s="45"/>
      <c r="E12" s="43"/>
      <c r="F12" s="43"/>
      <c r="G12" s="43"/>
      <c r="H12" s="42"/>
      <c r="I12" s="43"/>
      <c r="J12" s="43"/>
      <c r="K12" s="46"/>
      <c r="L12" s="47"/>
    </row>
    <row r="13" spans="1:14" x14ac:dyDescent="0.2">
      <c r="A13" s="22">
        <v>82</v>
      </c>
      <c r="B13" s="22">
        <v>0.14649999999999999</v>
      </c>
      <c r="C13" s="45"/>
      <c r="D13" s="45"/>
      <c r="E13" s="22">
        <f>A13*B13*C8/D8</f>
        <v>2.1967949951876808</v>
      </c>
      <c r="F13" s="22">
        <f>2/PI()*0.55</f>
        <v>0.35014087480216977</v>
      </c>
      <c r="G13" s="22">
        <f>E13*F13</f>
        <v>0.76918772137604285</v>
      </c>
      <c r="H13" s="43"/>
      <c r="I13" s="22">
        <f>G13*$H$3</f>
        <v>1.5383754427520857</v>
      </c>
      <c r="J13" s="22" t="s">
        <v>26</v>
      </c>
      <c r="K13" s="20">
        <v>1.5309999999999999</v>
      </c>
      <c r="L13" s="27">
        <f>K13/I13-1</f>
        <v>-4.7943060888253619E-3</v>
      </c>
    </row>
    <row r="14" spans="1:14" x14ac:dyDescent="0.2">
      <c r="J14" s="21"/>
    </row>
    <row r="15" spans="1:14" x14ac:dyDescent="0.2">
      <c r="A15" s="21"/>
      <c r="B15" s="21"/>
      <c r="C15" s="21"/>
      <c r="D15" s="21"/>
      <c r="E15" s="21"/>
      <c r="J15" s="21"/>
    </row>
    <row r="16" spans="1:14" ht="15" thickBot="1" x14ac:dyDescent="0.25">
      <c r="A16" s="44" t="s">
        <v>32</v>
      </c>
      <c r="B16" s="44"/>
      <c r="C16" s="44"/>
      <c r="D16" s="44"/>
      <c r="E16" s="21"/>
      <c r="J16" s="21"/>
      <c r="L16" s="20"/>
    </row>
    <row r="17" spans="1:10" x14ac:dyDescent="0.2">
      <c r="A17" s="21" t="s">
        <v>37</v>
      </c>
      <c r="B17" s="21" t="s">
        <v>34</v>
      </c>
      <c r="C17" s="21" t="s">
        <v>35</v>
      </c>
      <c r="D17" s="21" t="s">
        <v>36</v>
      </c>
      <c r="E17" s="21"/>
      <c r="G17" s="25" t="s">
        <v>44</v>
      </c>
      <c r="H17" s="25" t="s">
        <v>45</v>
      </c>
      <c r="I17" s="25" t="s">
        <v>46</v>
      </c>
      <c r="J17" s="28" t="s">
        <v>47</v>
      </c>
    </row>
    <row r="18" spans="1:10" x14ac:dyDescent="0.2">
      <c r="A18" s="21">
        <v>0</v>
      </c>
      <c r="B18" s="37">
        <f>3.3/5-0.01</f>
        <v>0.64999999999999991</v>
      </c>
      <c r="C18" s="21">
        <f>A18+$B$18</f>
        <v>0.64999999999999991</v>
      </c>
      <c r="D18" s="6">
        <f>C18/3.3*4095</f>
        <v>806.59090909090901</v>
      </c>
      <c r="E18" s="21"/>
      <c r="G18" s="21">
        <v>12.688000000000001</v>
      </c>
      <c r="H18" s="21">
        <v>12.734999999999999</v>
      </c>
      <c r="I18" s="21">
        <f>G18/$B$3</f>
        <v>0.98739299610894948</v>
      </c>
      <c r="J18" s="21">
        <f>H18/$B$3</f>
        <v>0.99105058365758758</v>
      </c>
    </row>
    <row r="19" spans="1:10" x14ac:dyDescent="0.2">
      <c r="A19" s="21">
        <v>0.3</v>
      </c>
      <c r="B19" s="37"/>
      <c r="C19" s="21">
        <f>A19+$B$18</f>
        <v>0.95</v>
      </c>
      <c r="D19" s="6">
        <f t="shared" ref="D19:D29" si="1">C19/3.3*4095</f>
        <v>1178.8636363636365</v>
      </c>
      <c r="E19" s="21"/>
      <c r="G19" s="21">
        <v>1.4410000000000001</v>
      </c>
      <c r="H19" s="21">
        <v>1.4470000000000001</v>
      </c>
      <c r="I19" s="21">
        <f>G19/$B$4</f>
        <v>1.0198159943382874</v>
      </c>
      <c r="J19" s="21">
        <f>H19/$B$4</f>
        <v>1.024062278839349</v>
      </c>
    </row>
    <row r="20" spans="1:10" x14ac:dyDescent="0.2">
      <c r="A20" s="21">
        <v>0.9</v>
      </c>
      <c r="B20" s="37"/>
      <c r="C20" s="21">
        <f>A20+$B$18</f>
        <v>1.5499999999999998</v>
      </c>
      <c r="D20" s="6">
        <f t="shared" si="1"/>
        <v>1923.4090909090908</v>
      </c>
      <c r="G20" s="21">
        <v>0.152</v>
      </c>
      <c r="H20" s="21">
        <v>0.153</v>
      </c>
      <c r="I20" s="21">
        <f>G20/$B$5</f>
        <v>1.0375426621160411</v>
      </c>
      <c r="J20" s="21">
        <f>H20/$B$5</f>
        <v>1.0443686006825939</v>
      </c>
    </row>
    <row r="21" spans="1:10" x14ac:dyDescent="0.2">
      <c r="A21" s="21">
        <v>1.43</v>
      </c>
      <c r="B21" s="37"/>
      <c r="C21" s="21">
        <f>A21+$B$18</f>
        <v>2.08</v>
      </c>
      <c r="D21" s="6">
        <f t="shared" si="1"/>
        <v>2581.0909090909095</v>
      </c>
      <c r="E21" s="23"/>
      <c r="F21" s="23"/>
    </row>
    <row r="22" spans="1:10" x14ac:dyDescent="0.2">
      <c r="A22" s="21">
        <v>1.98</v>
      </c>
      <c r="B22" s="37"/>
      <c r="C22" s="21">
        <f>A22+$B$18</f>
        <v>2.63</v>
      </c>
      <c r="D22" s="6">
        <f t="shared" si="1"/>
        <v>3263.590909090909</v>
      </c>
    </row>
    <row r="23" spans="1:10" x14ac:dyDescent="0.2">
      <c r="A23" s="21"/>
      <c r="B23" s="9"/>
      <c r="C23" s="21"/>
      <c r="D23" s="6"/>
    </row>
    <row r="24" spans="1:10" x14ac:dyDescent="0.2">
      <c r="A24" s="21"/>
      <c r="B24" s="21" t="s">
        <v>38</v>
      </c>
      <c r="C24" s="21" t="s">
        <v>40</v>
      </c>
      <c r="D24" s="21" t="s">
        <v>39</v>
      </c>
    </row>
    <row r="25" spans="1:10" x14ac:dyDescent="0.2">
      <c r="A25" s="21">
        <v>0.3</v>
      </c>
      <c r="B25" s="37">
        <v>0.01</v>
      </c>
      <c r="C25" s="21">
        <f>A25+$B$25</f>
        <v>0.31</v>
      </c>
      <c r="D25" s="6">
        <f>C25/3.3*4095</f>
        <v>384.68181818181819</v>
      </c>
    </row>
    <row r="26" spans="1:10" x14ac:dyDescent="0.2">
      <c r="A26" s="21">
        <v>0.9</v>
      </c>
      <c r="B26" s="37"/>
      <c r="C26" s="21">
        <f>A26+$B$25</f>
        <v>0.91</v>
      </c>
      <c r="D26" s="6">
        <f t="shared" si="1"/>
        <v>1129.2272727272727</v>
      </c>
    </row>
    <row r="27" spans="1:10" x14ac:dyDescent="0.2">
      <c r="A27" s="21">
        <v>1.43</v>
      </c>
      <c r="B27" s="37"/>
      <c r="C27" s="21">
        <f>A27+$B$25</f>
        <v>1.44</v>
      </c>
      <c r="D27" s="6">
        <f t="shared" si="1"/>
        <v>1786.909090909091</v>
      </c>
    </row>
    <row r="28" spans="1:10" x14ac:dyDescent="0.2">
      <c r="A28" s="21">
        <v>1.98</v>
      </c>
      <c r="B28" s="37"/>
      <c r="C28" s="21">
        <f>A28+$B$25</f>
        <v>1.99</v>
      </c>
      <c r="D28" s="6">
        <f t="shared" si="1"/>
        <v>2469.409090909091</v>
      </c>
    </row>
    <row r="29" spans="1:10" x14ac:dyDescent="0.2">
      <c r="A29" s="21">
        <v>2.5299999999999998</v>
      </c>
      <c r="B29" s="37"/>
      <c r="C29" s="21">
        <f>A29+$B$25</f>
        <v>2.5399999999999996</v>
      </c>
      <c r="D29" s="6">
        <f t="shared" si="1"/>
        <v>3151.9090909090905</v>
      </c>
    </row>
  </sheetData>
  <mergeCells count="31">
    <mergeCell ref="K11:K12"/>
    <mergeCell ref="K8:K10"/>
    <mergeCell ref="L8:L10"/>
    <mergeCell ref="L11:L12"/>
    <mergeCell ref="J8:J10"/>
    <mergeCell ref="A8:A10"/>
    <mergeCell ref="C8:C13"/>
    <mergeCell ref="D8:D13"/>
    <mergeCell ref="F8:F10"/>
    <mergeCell ref="H8:H13"/>
    <mergeCell ref="E11:E12"/>
    <mergeCell ref="G8:G10"/>
    <mergeCell ref="G11:G12"/>
    <mergeCell ref="I8:I10"/>
    <mergeCell ref="I11:I12"/>
    <mergeCell ref="H3:H5"/>
    <mergeCell ref="A1:J1"/>
    <mergeCell ref="C3:C5"/>
    <mergeCell ref="J3:J5"/>
    <mergeCell ref="B25:B29"/>
    <mergeCell ref="B18:B22"/>
    <mergeCell ref="A16:D16"/>
    <mergeCell ref="F3:F5"/>
    <mergeCell ref="D3:D5"/>
    <mergeCell ref="A3:A5"/>
    <mergeCell ref="A11:A12"/>
    <mergeCell ref="F11:F12"/>
    <mergeCell ref="J11:J12"/>
    <mergeCell ref="B8:B10"/>
    <mergeCell ref="B11:B12"/>
    <mergeCell ref="E8:E10"/>
  </mergeCells>
  <pageMargins left="0.7" right="0.7" top="0.75" bottom="0.75" header="0.3" footer="0.3"/>
  <pageSetup paperSize="9" scale="4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6C07-800B-4395-A9C4-74ADAE8B1174}">
  <dimension ref="A1:M20"/>
  <sheetViews>
    <sheetView zoomScale="130" zoomScaleNormal="130" workbookViewId="0">
      <selection activeCell="J7" sqref="J7"/>
    </sheetView>
  </sheetViews>
  <sheetFormatPr defaultRowHeight="14.25" x14ac:dyDescent="0.2"/>
  <cols>
    <col min="1" max="4" width="15.625" customWidth="1"/>
    <col min="5" max="8" width="20.625" customWidth="1"/>
    <col min="9" max="9" width="15.625" customWidth="1"/>
  </cols>
  <sheetData>
    <row r="1" spans="1:13" ht="15" thickBot="1" x14ac:dyDescent="0.25">
      <c r="A1" s="48" t="s">
        <v>58</v>
      </c>
      <c r="B1" s="48"/>
      <c r="C1" s="48"/>
      <c r="D1" s="48"/>
      <c r="E1" s="48"/>
      <c r="F1" s="48"/>
      <c r="G1" s="48"/>
      <c r="H1" s="48"/>
      <c r="I1" s="24"/>
      <c r="J1" s="24"/>
      <c r="K1" s="24"/>
      <c r="L1" s="24"/>
      <c r="M1" s="18"/>
    </row>
    <row r="2" spans="1:13" x14ac:dyDescent="0.2">
      <c r="A2" s="24" t="s">
        <v>57</v>
      </c>
      <c r="B2" s="24" t="s">
        <v>56</v>
      </c>
      <c r="C2" s="24" t="s">
        <v>55</v>
      </c>
      <c r="D2" s="24" t="s">
        <v>54</v>
      </c>
      <c r="E2" s="24" t="s">
        <v>53</v>
      </c>
      <c r="F2" s="24" t="s">
        <v>52</v>
      </c>
      <c r="G2" s="24" t="s">
        <v>50</v>
      </c>
      <c r="H2" s="24" t="s">
        <v>51</v>
      </c>
      <c r="I2" s="24"/>
      <c r="J2" s="24"/>
      <c r="K2" s="24" t="s">
        <v>50</v>
      </c>
      <c r="L2" s="24"/>
      <c r="M2" s="18"/>
    </row>
    <row r="3" spans="1:13" x14ac:dyDescent="0.2">
      <c r="A3" s="36">
        <v>2</v>
      </c>
      <c r="B3" s="36">
        <v>2.2000000000000002</v>
      </c>
      <c r="C3" s="36">
        <v>2</v>
      </c>
      <c r="D3" s="36">
        <v>2.2000000000000002</v>
      </c>
      <c r="E3" s="35">
        <f>1/(2*PI()*POWER(A3*B3*C3*D3*0.000000000001,0.5))</f>
        <v>36171.577975430759</v>
      </c>
      <c r="F3" s="34">
        <v>55500</v>
      </c>
      <c r="G3" s="30">
        <f>POWER(1+POWER(F3/$E$3,2),-1)</f>
        <v>0.29812997290099535</v>
      </c>
      <c r="H3" s="32">
        <f>-20*LOG10(1+POWER(F3/$E$3,2))</f>
        <v>-10.511887187757797</v>
      </c>
      <c r="I3" s="31">
        <v>1</v>
      </c>
      <c r="J3" s="24">
        <f>0.5*K3*I3</f>
        <v>0.18979543548418487</v>
      </c>
      <c r="K3" s="30">
        <f>4/PI()*G3</f>
        <v>0.37959087096836974</v>
      </c>
      <c r="L3" s="33" t="s">
        <v>49</v>
      </c>
      <c r="M3" s="18"/>
    </row>
    <row r="4" spans="1:13" x14ac:dyDescent="0.2">
      <c r="A4" s="24"/>
      <c r="B4" s="24"/>
      <c r="C4" s="24"/>
      <c r="D4" s="24"/>
      <c r="E4" s="24"/>
      <c r="F4" s="23">
        <f>F3*3</f>
        <v>166500</v>
      </c>
      <c r="G4" s="30">
        <f>POWER(1+POWER(F4/$E$3,2),-1)</f>
        <v>4.5069050021524573E-2</v>
      </c>
      <c r="H4" s="32">
        <f>-20*LOG10(1+POWER(F4/$E$3,2))</f>
        <v>-26.922431920345666</v>
      </c>
      <c r="I4" s="31">
        <v>0.33333333333333331</v>
      </c>
      <c r="J4" s="24">
        <f>0.5*K4*I4</f>
        <v>9.56394945517537E-3</v>
      </c>
      <c r="K4" s="30">
        <f>4/PI()*G4</f>
        <v>5.7383696731052224E-2</v>
      </c>
      <c r="L4" s="29">
        <f>K4/$K$3</f>
        <v>0.15117248890802185</v>
      </c>
      <c r="M4" s="18"/>
    </row>
    <row r="5" spans="1:13" x14ac:dyDescent="0.2">
      <c r="A5" s="24"/>
      <c r="B5" s="24"/>
      <c r="C5" s="24"/>
      <c r="D5" s="24"/>
      <c r="E5" s="24"/>
      <c r="F5" s="23">
        <f>F3*5</f>
        <v>277500</v>
      </c>
      <c r="G5" s="30">
        <f>POWER(1+POWER(F5/$E$3,2),-1)</f>
        <v>1.6706750733842077E-2</v>
      </c>
      <c r="H5" s="32">
        <f>-20*LOG10(1+POWER(F5/$E$3,2))</f>
        <v>-35.542160141065288</v>
      </c>
      <c r="I5" s="31">
        <v>0.2</v>
      </c>
      <c r="J5" s="24">
        <f>0.5*K5*I5</f>
        <v>2.1271695698360932E-3</v>
      </c>
      <c r="K5" s="30">
        <f>4/PI()*G5</f>
        <v>2.1271695698360932E-2</v>
      </c>
      <c r="L5" s="29">
        <f>K5/$K$3</f>
        <v>5.6038480704488393E-2</v>
      </c>
      <c r="M5" s="18"/>
    </row>
    <row r="6" spans="1:13" x14ac:dyDescent="0.2">
      <c r="A6" s="24"/>
      <c r="B6" s="24"/>
      <c r="C6" s="24"/>
      <c r="D6" s="24"/>
      <c r="E6" s="24"/>
      <c r="F6" s="23">
        <f>F3*7</f>
        <v>388500</v>
      </c>
      <c r="G6" s="30">
        <f>POWER(1+POWER(F6/$E$3,2),-1)</f>
        <v>8.5941776974559504E-3</v>
      </c>
      <c r="H6" s="32">
        <f>-20*LOG10(1+POWER(F6/$E$3,2))</f>
        <v>-41.315913417448343</v>
      </c>
      <c r="I6" s="31">
        <v>0.14285714285714285</v>
      </c>
      <c r="J6" s="24">
        <f>0.5*K6*I6</f>
        <v>7.8160334992013602E-4</v>
      </c>
      <c r="K6" s="30">
        <f>4/PI()*G6</f>
        <v>1.0942446898881904E-2</v>
      </c>
      <c r="L6" s="29">
        <f>K6/$K$3</f>
        <v>2.8826949581181337E-2</v>
      </c>
      <c r="M6" s="18"/>
    </row>
    <row r="7" spans="1:13" x14ac:dyDescent="0.2">
      <c r="A7" s="24"/>
      <c r="B7" s="24"/>
      <c r="C7" s="24"/>
      <c r="D7" s="24"/>
      <c r="E7" s="24"/>
      <c r="F7" s="24"/>
      <c r="G7" s="24"/>
      <c r="H7" s="24"/>
      <c r="I7" s="24"/>
      <c r="J7" s="24"/>
      <c r="K7" s="24" t="s">
        <v>48</v>
      </c>
      <c r="L7" s="24"/>
      <c r="M7" s="18"/>
    </row>
    <row r="8" spans="1:13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DS132</vt:lpstr>
      <vt:lpstr>DS133</vt:lpstr>
      <vt:lpstr>Sallen-key型LPF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2026-06-03T05:50:45Z</cp:lastPrinted>
  <dcterms:created xsi:type="dcterms:W3CDTF">2025-05-17T01:16:06Z</dcterms:created>
  <dcterms:modified xsi:type="dcterms:W3CDTF">2026-06-10T02:12:16Z</dcterms:modified>
</cp:coreProperties>
</file>