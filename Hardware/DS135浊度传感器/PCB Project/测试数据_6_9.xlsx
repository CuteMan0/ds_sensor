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DS135浊度传感器\PCB Project\"/>
    </mc:Choice>
  </mc:AlternateContent>
  <xr:revisionPtr revIDLastSave="0" documentId="13_ncr:1_{8FD191EA-8F55-4FC8-A6CF-67C2F7F83F4F}" xr6:coauthVersionLast="47" xr6:coauthVersionMax="47" xr10:uidLastSave="{00000000-0000-0000-0000-000000000000}"/>
  <bookViews>
    <workbookView xWindow="-120" yWindow="-120" windowWidth="29040" windowHeight="15840" xr2:uid="{3490A699-2ECB-4C47-8C36-EA32561DB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H3" i="1"/>
  <c r="H4" i="1"/>
  <c r="H5" i="1"/>
  <c r="D3" i="1"/>
  <c r="D4" i="1"/>
  <c r="F4" i="1" s="1"/>
  <c r="D5" i="1"/>
  <c r="F5" i="1" s="1"/>
  <c r="D2" i="1"/>
  <c r="F2" i="1" s="1"/>
  <c r="H2" i="1" s="1"/>
  <c r="F3" i="1" l="1"/>
</calcChain>
</file>

<file path=xl/sharedStrings.xml><?xml version="1.0" encoding="utf-8"?>
<sst xmlns="http://schemas.openxmlformats.org/spreadsheetml/2006/main" count="11" uniqueCount="11">
  <si>
    <t>ADC电压</t>
    <phoneticPr fontId="1" type="noConversion"/>
  </si>
  <si>
    <t>浊度值（NTU）</t>
    <phoneticPr fontId="1" type="noConversion"/>
  </si>
  <si>
    <t>接收管跨阻输出（V）</t>
    <phoneticPr fontId="1" type="noConversion"/>
  </si>
  <si>
    <t xml:space="preserve"> </t>
    <phoneticPr fontId="1" type="noConversion"/>
  </si>
  <si>
    <t>电压基准</t>
    <phoneticPr fontId="1" type="noConversion"/>
  </si>
  <si>
    <t>减去基准的电压</t>
    <phoneticPr fontId="1" type="noConversion"/>
  </si>
  <si>
    <t>增益1</t>
    <phoneticPr fontId="1" type="noConversion"/>
  </si>
  <si>
    <t>输出电压</t>
    <phoneticPr fontId="1" type="noConversion"/>
  </si>
  <si>
    <t>增益2</t>
    <phoneticPr fontId="1" type="noConversion"/>
  </si>
  <si>
    <t>具体电路和环境调整至1.25基准</t>
    <phoneticPr fontId="1" type="noConversion"/>
  </si>
  <si>
    <t>使信号放大到ADC电压范围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</si>
</sst>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3" borderId="0" xfId="2" applyAlignment="1">
      <alignment horizontal="center" vertical="center"/>
    </xf>
    <xf numFmtId="0" fontId="4" fillId="4" borderId="0" xfId="3" applyAlignment="1">
      <alignment horizontal="center" vertical="center"/>
    </xf>
    <xf numFmtId="0" fontId="3" fillId="3" borderId="0" xfId="2" applyAlignment="1">
      <alignment horizontal="center" vertical="center"/>
    </xf>
    <xf numFmtId="0" fontId="4" fillId="4" borderId="0" xfId="3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F42F-59AD-4FB9-B734-C419327C0D75}">
  <dimension ref="A1:K22"/>
  <sheetViews>
    <sheetView tabSelected="1" zoomScale="190" zoomScaleNormal="190" workbookViewId="0">
      <selection activeCell="I14" sqref="I14"/>
    </sheetView>
  </sheetViews>
  <sheetFormatPr defaultRowHeight="14.25" x14ac:dyDescent="0.2"/>
  <cols>
    <col min="1" max="1" width="14.75" customWidth="1"/>
    <col min="2" max="2" width="22.25" customWidth="1"/>
    <col min="5" max="5" width="9.75" bestFit="1" customWidth="1"/>
    <col min="6" max="6" width="15" customWidth="1"/>
  </cols>
  <sheetData>
    <row r="1" spans="1:11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4</v>
      </c>
      <c r="F1" s="1" t="s">
        <v>5</v>
      </c>
      <c r="G1" s="1" t="s">
        <v>8</v>
      </c>
      <c r="H1" s="1" t="s">
        <v>0</v>
      </c>
      <c r="K1" s="1"/>
    </row>
    <row r="2" spans="1:11" x14ac:dyDescent="0.2">
      <c r="A2" s="1">
        <v>10</v>
      </c>
      <c r="B2" s="1">
        <v>0.20169999999999999</v>
      </c>
      <c r="C2" s="5">
        <v>13.4</v>
      </c>
      <c r="D2">
        <f>B2*$C$2</f>
        <v>2.7027799999999997</v>
      </c>
      <c r="E2" s="3">
        <v>2.5</v>
      </c>
      <c r="F2">
        <f>D2-$E$2</f>
        <v>0.20277999999999974</v>
      </c>
      <c r="G2" s="6">
        <v>7.2</v>
      </c>
      <c r="H2" s="4">
        <f>F2*$G$2</f>
        <v>1.4600159999999982</v>
      </c>
      <c r="J2">
        <f>(A5-A2)/((H5-H2)/3.3*4096)</f>
        <v>9.5578940060615528E-2</v>
      </c>
      <c r="K2" s="1"/>
    </row>
    <row r="3" spans="1:11" x14ac:dyDescent="0.2">
      <c r="A3" s="1">
        <v>20</v>
      </c>
      <c r="B3" s="1">
        <v>0.20250000000000001</v>
      </c>
      <c r="C3" s="5"/>
      <c r="D3">
        <f t="shared" ref="D3:D5" si="0">B3*$C$2</f>
        <v>2.7135000000000002</v>
      </c>
      <c r="E3" s="3"/>
      <c r="F3">
        <f t="shared" ref="F3:F5" si="1">D3-$E$2</f>
        <v>0.21350000000000025</v>
      </c>
      <c r="G3" s="6"/>
      <c r="H3" s="4">
        <f t="shared" ref="H3:H5" si="2">F3*$G$2</f>
        <v>1.5372000000000019</v>
      </c>
      <c r="K3" s="3"/>
    </row>
    <row r="4" spans="1:11" x14ac:dyDescent="0.2">
      <c r="A4" s="1">
        <v>100</v>
      </c>
      <c r="B4" s="2">
        <v>0.20780000000000001</v>
      </c>
      <c r="C4" s="5"/>
      <c r="D4">
        <f t="shared" si="0"/>
        <v>2.7845200000000001</v>
      </c>
      <c r="E4" s="3"/>
      <c r="F4">
        <f t="shared" si="1"/>
        <v>0.28452000000000011</v>
      </c>
      <c r="G4" s="6"/>
      <c r="H4" s="4">
        <f t="shared" si="2"/>
        <v>2.048544000000001</v>
      </c>
      <c r="K4" s="3"/>
    </row>
    <row r="5" spans="1:11" x14ac:dyDescent="0.2">
      <c r="A5" s="1">
        <v>200</v>
      </c>
      <c r="B5" s="2">
        <v>0.21829999999999999</v>
      </c>
      <c r="C5" s="5"/>
      <c r="D5">
        <f t="shared" si="0"/>
        <v>2.9252199999999999</v>
      </c>
      <c r="E5" s="3"/>
      <c r="F5">
        <f t="shared" si="1"/>
        <v>0.42521999999999993</v>
      </c>
      <c r="G5" s="6"/>
      <c r="H5" s="4">
        <f t="shared" si="2"/>
        <v>3.0615839999999994</v>
      </c>
    </row>
    <row r="6" spans="1:11" x14ac:dyDescent="0.2">
      <c r="B6" s="1"/>
      <c r="C6" s="7" t="s">
        <v>9</v>
      </c>
      <c r="D6" s="1"/>
      <c r="G6" s="8" t="s">
        <v>10</v>
      </c>
    </row>
    <row r="7" spans="1:11" x14ac:dyDescent="0.2">
      <c r="B7" s="1"/>
      <c r="C7" s="1"/>
      <c r="D7" s="1"/>
    </row>
    <row r="8" spans="1:11" x14ac:dyDescent="0.2">
      <c r="C8" s="1"/>
      <c r="D8" s="1"/>
    </row>
    <row r="9" spans="1:11" x14ac:dyDescent="0.2">
      <c r="C9" s="1"/>
      <c r="D9" s="1"/>
    </row>
    <row r="10" spans="1:11" x14ac:dyDescent="0.2">
      <c r="A10" s="1"/>
    </row>
    <row r="11" spans="1:11" x14ac:dyDescent="0.2">
      <c r="B11" s="1"/>
      <c r="C11" s="1"/>
    </row>
    <row r="12" spans="1:11" x14ac:dyDescent="0.2">
      <c r="B12" s="1"/>
      <c r="C12" s="1"/>
    </row>
    <row r="13" spans="1:11" x14ac:dyDescent="0.2">
      <c r="A13" s="1"/>
    </row>
    <row r="14" spans="1:11" x14ac:dyDescent="0.2">
      <c r="A14" s="1"/>
      <c r="E14" t="s">
        <v>3</v>
      </c>
    </row>
    <row r="15" spans="1:11" x14ac:dyDescent="0.2">
      <c r="A15" s="1"/>
    </row>
    <row r="16" spans="1:1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</sheetData>
  <mergeCells count="4">
    <mergeCell ref="C2:C5"/>
    <mergeCell ref="K3:K4"/>
    <mergeCell ref="E2:E5"/>
    <mergeCell ref="G2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2025-06-03T08:56:16Z</dcterms:created>
  <dcterms:modified xsi:type="dcterms:W3CDTF">2025-06-09T07:17:17Z</dcterms:modified>
</cp:coreProperties>
</file>