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esktop\WorkSpace\DS138气态酒精传感器\PCB Project\"/>
    </mc:Choice>
  </mc:AlternateContent>
  <xr:revisionPtr revIDLastSave="0" documentId="13_ncr:1_{9D87E905-9482-4C68-A127-BD8C2125B2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E5" i="1"/>
  <c r="F5" i="1"/>
  <c r="F3" i="1"/>
  <c r="E3" i="1"/>
  <c r="D5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</calcChain>
</file>

<file path=xl/sharedStrings.xml><?xml version="1.0" encoding="utf-8"?>
<sst xmlns="http://schemas.openxmlformats.org/spreadsheetml/2006/main" count="8" uniqueCount="6">
  <si>
    <t>ppm</t>
    <phoneticPr fontId="1" type="noConversion"/>
  </si>
  <si>
    <t>V</t>
    <phoneticPr fontId="1" type="noConversion"/>
  </si>
  <si>
    <t>`</t>
    <phoneticPr fontId="1" type="noConversion"/>
  </si>
  <si>
    <t>k</t>
    <phoneticPr fontId="1" type="noConversion"/>
  </si>
  <si>
    <t>b</t>
    <phoneticPr fontId="1" type="noConversion"/>
  </si>
  <si>
    <t>线性化斜率和截距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</si>
</sst>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theme="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1" applyAlignment="1"/>
    <xf numFmtId="0" fontId="4" fillId="3" borderId="0" xfId="2" applyAlignment="1"/>
    <xf numFmtId="0" fontId="0" fillId="0" borderId="0" xfId="0" applyAlignment="1">
      <alignment horizontal="center"/>
    </xf>
  </cellXfs>
  <cellStyles count="3">
    <cellStyle name="常规" xfId="0" builtinId="0"/>
    <cellStyle name="着色 1" xfId="1" builtinId="29"/>
    <cellStyle name="着色 2" xfId="2" builtinId="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Sheet1!$B$2:$B$39</c:f>
              <c:numCache>
                <c:formatCode>General</c:formatCode>
                <c:ptCount val="38"/>
                <c:pt idx="0">
                  <c:v>0.57999999999999996</c:v>
                </c:pt>
                <c:pt idx="1">
                  <c:v>0.7</c:v>
                </c:pt>
                <c:pt idx="2">
                  <c:v>0.8</c:v>
                </c:pt>
                <c:pt idx="3">
                  <c:v>0.85</c:v>
                </c:pt>
                <c:pt idx="4">
                  <c:v>0.9</c:v>
                </c:pt>
                <c:pt idx="5">
                  <c:v>0.95</c:v>
                </c:pt>
                <c:pt idx="6">
                  <c:v>1</c:v>
                </c:pt>
                <c:pt idx="7">
                  <c:v>1.02</c:v>
                </c:pt>
                <c:pt idx="8">
                  <c:v>1.05</c:v>
                </c:pt>
                <c:pt idx="9">
                  <c:v>1.08</c:v>
                </c:pt>
                <c:pt idx="10">
                  <c:v>1.1100000000000001</c:v>
                </c:pt>
                <c:pt idx="11">
                  <c:v>1.1399999999999999</c:v>
                </c:pt>
                <c:pt idx="12">
                  <c:v>1.17</c:v>
                </c:pt>
                <c:pt idx="13">
                  <c:v>1.19</c:v>
                </c:pt>
                <c:pt idx="14">
                  <c:v>1.21</c:v>
                </c:pt>
                <c:pt idx="15">
                  <c:v>1.25</c:v>
                </c:pt>
                <c:pt idx="16">
                  <c:v>1.3</c:v>
                </c:pt>
                <c:pt idx="17">
                  <c:v>1.33</c:v>
                </c:pt>
                <c:pt idx="18">
                  <c:v>1.36</c:v>
                </c:pt>
                <c:pt idx="19">
                  <c:v>1.38</c:v>
                </c:pt>
                <c:pt idx="20">
                  <c:v>1.41</c:v>
                </c:pt>
                <c:pt idx="21">
                  <c:v>1.44</c:v>
                </c:pt>
                <c:pt idx="22">
                  <c:v>1.5</c:v>
                </c:pt>
                <c:pt idx="23">
                  <c:v>1.56</c:v>
                </c:pt>
                <c:pt idx="24">
                  <c:v>1.6199999999999999</c:v>
                </c:pt>
                <c:pt idx="25">
                  <c:v>1.68</c:v>
                </c:pt>
                <c:pt idx="26">
                  <c:v>1.74</c:v>
                </c:pt>
                <c:pt idx="27">
                  <c:v>1.7999999999999998</c:v>
                </c:pt>
                <c:pt idx="28">
                  <c:v>1.8599999999999999</c:v>
                </c:pt>
                <c:pt idx="29">
                  <c:v>1.92</c:v>
                </c:pt>
                <c:pt idx="30">
                  <c:v>1.98</c:v>
                </c:pt>
                <c:pt idx="31">
                  <c:v>2.04</c:v>
                </c:pt>
                <c:pt idx="32">
                  <c:v>2.0999999999999996</c:v>
                </c:pt>
                <c:pt idx="33">
                  <c:v>2.16</c:v>
                </c:pt>
                <c:pt idx="34">
                  <c:v>2.2199999999999998</c:v>
                </c:pt>
                <c:pt idx="35">
                  <c:v>2.2799999999999998</c:v>
                </c:pt>
                <c:pt idx="36">
                  <c:v>2.34</c:v>
                </c:pt>
                <c:pt idx="37">
                  <c:v>2.4</c:v>
                </c:pt>
              </c:numCache>
            </c:numRef>
          </c:xVal>
          <c:yVal>
            <c:numRef>
              <c:f>Sheet1!$A$2:$A$39</c:f>
              <c:numCache>
                <c:formatCode>General</c:formatCode>
                <c:ptCount val="38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105</c:v>
                </c:pt>
                <c:pt idx="15">
                  <c:v>120</c:v>
                </c:pt>
                <c:pt idx="16">
                  <c:v>140</c:v>
                </c:pt>
                <c:pt idx="17">
                  <c:v>160</c:v>
                </c:pt>
                <c:pt idx="18">
                  <c:v>180</c:v>
                </c:pt>
                <c:pt idx="19">
                  <c:v>200</c:v>
                </c:pt>
                <c:pt idx="20">
                  <c:v>250</c:v>
                </c:pt>
                <c:pt idx="21">
                  <c:v>300</c:v>
                </c:pt>
                <c:pt idx="22">
                  <c:v>400</c:v>
                </c:pt>
                <c:pt idx="23">
                  <c:v>500</c:v>
                </c:pt>
                <c:pt idx="24">
                  <c:v>600</c:v>
                </c:pt>
                <c:pt idx="25">
                  <c:v>700</c:v>
                </c:pt>
                <c:pt idx="26">
                  <c:v>800</c:v>
                </c:pt>
                <c:pt idx="27">
                  <c:v>900</c:v>
                </c:pt>
                <c:pt idx="28">
                  <c:v>1000</c:v>
                </c:pt>
                <c:pt idx="29">
                  <c:v>1100</c:v>
                </c:pt>
                <c:pt idx="30">
                  <c:v>1200</c:v>
                </c:pt>
                <c:pt idx="31">
                  <c:v>1300</c:v>
                </c:pt>
                <c:pt idx="32">
                  <c:v>1400</c:v>
                </c:pt>
                <c:pt idx="33">
                  <c:v>1500</c:v>
                </c:pt>
                <c:pt idx="34">
                  <c:v>1600</c:v>
                </c:pt>
                <c:pt idx="35">
                  <c:v>1700</c:v>
                </c:pt>
                <c:pt idx="36">
                  <c:v>1800</c:v>
                </c:pt>
                <c:pt idx="37">
                  <c:v>1900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E961-4671-A7D1-BB234A901D6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Sheet1!$D$2:$D$5</c:f>
              <c:numCache>
                <c:formatCode>General</c:formatCode>
                <c:ptCount val="4"/>
                <c:pt idx="0">
                  <c:v>0.57999999999999996</c:v>
                </c:pt>
                <c:pt idx="1">
                  <c:v>1.08</c:v>
                </c:pt>
                <c:pt idx="2">
                  <c:v>1.38</c:v>
                </c:pt>
                <c:pt idx="3">
                  <c:v>2.4</c:v>
                </c:pt>
              </c:numCache>
            </c:num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0</c:v>
                </c:pt>
                <c:pt idx="1">
                  <c:v>50</c:v>
                </c:pt>
                <c:pt idx="2">
                  <c:v>200</c:v>
                </c:pt>
                <c:pt idx="3">
                  <c:v>1900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F-41BA-AAD5-BA3A33AA9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887680"/>
        <c:axId val="330896320"/>
      </c:scatterChart>
      <c:valAx>
        <c:axId val="330887680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0896320"/>
        <c:crosses val="autoZero"/>
        <c:crossBetween val="midCat"/>
      </c:valAx>
      <c:valAx>
        <c:axId val="33089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088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334030</xdr:colOff>
      <xdr:row>6</xdr:row>
      <xdr:rowOff>57978</xdr:rowOff>
    </xdr:from>
    <xdr:to>
      <xdr:col>15</xdr:col>
      <xdr:colOff>237339</xdr:colOff>
      <xdr:row>31</xdr:row>
      <xdr:rowOff>50553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5E550CA-5EFE-C0A1-58A9-648268865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="85" zoomScaleNormal="85" workbookViewId="0">
      <selection activeCell="H2" sqref="H2"/>
    </sheetView>
  </sheetViews>
  <sheetFormatPr defaultRowHeight="14.25" x14ac:dyDescent="0.2"/>
  <sheetData>
    <row r="1" spans="1:6" x14ac:dyDescent="0.2">
      <c r="A1" s="3" t="s">
        <v>0</v>
      </c>
      <c r="B1" s="3" t="s">
        <v>1</v>
      </c>
      <c r="C1" s="4" t="s">
        <v>0</v>
      </c>
      <c r="D1" s="4" t="s">
        <v>1</v>
      </c>
      <c r="E1" s="5" t="s">
        <v>5</v>
      </c>
      <c r="F1" s="5"/>
    </row>
    <row r="2" spans="1:6" x14ac:dyDescent="0.2">
      <c r="A2" s="2">
        <v>0</v>
      </c>
      <c r="B2" s="2">
        <v>0.57999999999999996</v>
      </c>
      <c r="C2" s="2">
        <v>0</v>
      </c>
      <c r="D2" s="2">
        <v>0.57999999999999996</v>
      </c>
      <c r="E2" t="s">
        <v>3</v>
      </c>
      <c r="F2" t="s">
        <v>4</v>
      </c>
    </row>
    <row r="3" spans="1:6" x14ac:dyDescent="0.2">
      <c r="A3" s="2">
        <v>10</v>
      </c>
      <c r="B3" s="2">
        <v>0.7</v>
      </c>
      <c r="C3" s="2">
        <v>50</v>
      </c>
      <c r="D3" s="2">
        <v>1.08</v>
      </c>
      <c r="E3">
        <f>(C3-C2)/(D3-D2)</f>
        <v>99.999999999999972</v>
      </c>
      <c r="F3">
        <f>C3-E3*D3</f>
        <v>-57.999999999999972</v>
      </c>
    </row>
    <row r="4" spans="1:6" x14ac:dyDescent="0.2">
      <c r="A4" s="2">
        <v>15</v>
      </c>
      <c r="B4" s="2">
        <v>0.8</v>
      </c>
      <c r="C4" s="2">
        <v>200</v>
      </c>
      <c r="D4" s="2">
        <v>1.38</v>
      </c>
      <c r="E4">
        <f t="shared" ref="E4:E5" si="0">(C4-C3)/(D4-D3)</f>
        <v>500.00000000000028</v>
      </c>
      <c r="F4">
        <f t="shared" ref="F4:F5" si="1">C4-E4*D4</f>
        <v>-490.00000000000034</v>
      </c>
    </row>
    <row r="5" spans="1:6" x14ac:dyDescent="0.2">
      <c r="A5" s="2">
        <v>20</v>
      </c>
      <c r="B5" s="2">
        <v>0.85</v>
      </c>
      <c r="C5">
        <v>1900</v>
      </c>
      <c r="D5">
        <f t="shared" ref="D5" si="2">(C5-300)*0.0006 + 1.44</f>
        <v>2.4</v>
      </c>
      <c r="E5">
        <f t="shared" si="0"/>
        <v>1666.6666666666667</v>
      </c>
      <c r="F5">
        <f t="shared" si="1"/>
        <v>-2100</v>
      </c>
    </row>
    <row r="6" spans="1:6" x14ac:dyDescent="0.2">
      <c r="A6" s="2">
        <v>25</v>
      </c>
      <c r="B6" s="2">
        <v>0.9</v>
      </c>
    </row>
    <row r="7" spans="1:6" x14ac:dyDescent="0.2">
      <c r="A7" s="2">
        <v>30</v>
      </c>
      <c r="B7" s="2">
        <v>0.95</v>
      </c>
    </row>
    <row r="8" spans="1:6" x14ac:dyDescent="0.2">
      <c r="A8" s="2">
        <v>35</v>
      </c>
      <c r="B8" s="2">
        <v>1</v>
      </c>
    </row>
    <row r="9" spans="1:6" x14ac:dyDescent="0.2">
      <c r="A9" s="2">
        <v>40</v>
      </c>
      <c r="B9" s="2">
        <v>1.02</v>
      </c>
    </row>
    <row r="10" spans="1:6" x14ac:dyDescent="0.2">
      <c r="A10" s="2">
        <v>45</v>
      </c>
      <c r="B10" s="2">
        <v>1.05</v>
      </c>
    </row>
    <row r="11" spans="1:6" x14ac:dyDescent="0.2">
      <c r="A11" s="2">
        <v>50</v>
      </c>
      <c r="B11" s="2">
        <v>1.08</v>
      </c>
    </row>
    <row r="12" spans="1:6" x14ac:dyDescent="0.2">
      <c r="A12" s="2">
        <v>60</v>
      </c>
      <c r="B12" s="2">
        <v>1.1100000000000001</v>
      </c>
    </row>
    <row r="13" spans="1:6" x14ac:dyDescent="0.2">
      <c r="A13" s="2">
        <v>70</v>
      </c>
      <c r="B13" s="2">
        <v>1.1399999999999999</v>
      </c>
    </row>
    <row r="14" spans="1:6" x14ac:dyDescent="0.2">
      <c r="A14" s="2">
        <v>80</v>
      </c>
      <c r="B14" s="2">
        <v>1.17</v>
      </c>
    </row>
    <row r="15" spans="1:6" x14ac:dyDescent="0.2">
      <c r="A15" s="2">
        <v>90</v>
      </c>
      <c r="B15" s="2">
        <v>1.19</v>
      </c>
    </row>
    <row r="16" spans="1:6" x14ac:dyDescent="0.2">
      <c r="A16" s="2">
        <v>105</v>
      </c>
      <c r="B16" s="2">
        <v>1.21</v>
      </c>
    </row>
    <row r="17" spans="1:4" x14ac:dyDescent="0.2">
      <c r="A17" s="2">
        <v>120</v>
      </c>
      <c r="B17" s="2">
        <v>1.25</v>
      </c>
    </row>
    <row r="18" spans="1:4" x14ac:dyDescent="0.2">
      <c r="A18" s="2">
        <v>140</v>
      </c>
      <c r="B18" s="2">
        <v>1.3</v>
      </c>
    </row>
    <row r="19" spans="1:4" x14ac:dyDescent="0.2">
      <c r="A19" s="2">
        <v>160</v>
      </c>
      <c r="B19" s="2">
        <v>1.33</v>
      </c>
    </row>
    <row r="20" spans="1:4" x14ac:dyDescent="0.2">
      <c r="A20" s="2">
        <v>180</v>
      </c>
      <c r="B20" s="2">
        <v>1.36</v>
      </c>
    </row>
    <row r="21" spans="1:4" x14ac:dyDescent="0.2">
      <c r="A21" s="2">
        <v>200</v>
      </c>
      <c r="B21" s="2">
        <v>1.38</v>
      </c>
    </row>
    <row r="22" spans="1:4" x14ac:dyDescent="0.2">
      <c r="A22" s="2">
        <v>250</v>
      </c>
      <c r="B22" s="2">
        <v>1.41</v>
      </c>
    </row>
    <row r="23" spans="1:4" x14ac:dyDescent="0.2">
      <c r="A23" s="2">
        <v>300</v>
      </c>
      <c r="B23" s="2">
        <v>1.44</v>
      </c>
      <c r="D23" t="s">
        <v>2</v>
      </c>
    </row>
    <row r="24" spans="1:4" x14ac:dyDescent="0.2">
      <c r="A24" s="2">
        <v>400</v>
      </c>
      <c r="B24" s="2">
        <f t="shared" ref="B24:B39" si="3">(A24-300)*0.0006 + 1.44</f>
        <v>1.5</v>
      </c>
    </row>
    <row r="25" spans="1:4" x14ac:dyDescent="0.2">
      <c r="A25" s="2">
        <v>500</v>
      </c>
      <c r="B25" s="2">
        <f t="shared" si="3"/>
        <v>1.56</v>
      </c>
    </row>
    <row r="26" spans="1:4" x14ac:dyDescent="0.2">
      <c r="A26" s="1">
        <v>600</v>
      </c>
      <c r="B26" s="1">
        <f t="shared" si="3"/>
        <v>1.6199999999999999</v>
      </c>
    </row>
    <row r="27" spans="1:4" x14ac:dyDescent="0.2">
      <c r="A27" s="1">
        <v>700</v>
      </c>
      <c r="B27" s="1">
        <f t="shared" si="3"/>
        <v>1.68</v>
      </c>
    </row>
    <row r="28" spans="1:4" x14ac:dyDescent="0.2">
      <c r="A28" s="1">
        <v>800</v>
      </c>
      <c r="B28" s="1">
        <f t="shared" si="3"/>
        <v>1.74</v>
      </c>
    </row>
    <row r="29" spans="1:4" x14ac:dyDescent="0.2">
      <c r="A29" s="1">
        <v>900</v>
      </c>
      <c r="B29" s="1">
        <f t="shared" si="3"/>
        <v>1.7999999999999998</v>
      </c>
    </row>
    <row r="30" spans="1:4" x14ac:dyDescent="0.2">
      <c r="A30" s="1">
        <v>1000</v>
      </c>
      <c r="B30" s="1">
        <f t="shared" si="3"/>
        <v>1.8599999999999999</v>
      </c>
    </row>
    <row r="31" spans="1:4" x14ac:dyDescent="0.2">
      <c r="A31" s="1">
        <v>1100</v>
      </c>
      <c r="B31" s="1">
        <f t="shared" si="3"/>
        <v>1.92</v>
      </c>
    </row>
    <row r="32" spans="1:4" x14ac:dyDescent="0.2">
      <c r="A32" s="1">
        <v>1200</v>
      </c>
      <c r="B32" s="1">
        <f t="shared" si="3"/>
        <v>1.98</v>
      </c>
    </row>
    <row r="33" spans="1:2" x14ac:dyDescent="0.2">
      <c r="A33" s="1">
        <v>1300</v>
      </c>
      <c r="B33" s="1">
        <f t="shared" si="3"/>
        <v>2.04</v>
      </c>
    </row>
    <row r="34" spans="1:2" x14ac:dyDescent="0.2">
      <c r="A34" s="1">
        <v>1400</v>
      </c>
      <c r="B34" s="1">
        <f t="shared" si="3"/>
        <v>2.0999999999999996</v>
      </c>
    </row>
    <row r="35" spans="1:2" x14ac:dyDescent="0.2">
      <c r="A35" s="1">
        <v>1500</v>
      </c>
      <c r="B35" s="1">
        <f t="shared" si="3"/>
        <v>2.16</v>
      </c>
    </row>
    <row r="36" spans="1:2" x14ac:dyDescent="0.2">
      <c r="A36" s="1">
        <v>1600</v>
      </c>
      <c r="B36" s="1">
        <f t="shared" si="3"/>
        <v>2.2199999999999998</v>
      </c>
    </row>
    <row r="37" spans="1:2" x14ac:dyDescent="0.2">
      <c r="A37" s="1">
        <v>1700</v>
      </c>
      <c r="B37" s="1">
        <f t="shared" si="3"/>
        <v>2.2799999999999998</v>
      </c>
    </row>
    <row r="38" spans="1:2" x14ac:dyDescent="0.2">
      <c r="A38" s="1">
        <v>1800</v>
      </c>
      <c r="B38" s="1">
        <f t="shared" si="3"/>
        <v>2.34</v>
      </c>
    </row>
    <row r="39" spans="1:2" x14ac:dyDescent="0.2">
      <c r="A39" s="1">
        <v>1900</v>
      </c>
      <c r="B39" s="1">
        <f t="shared" si="3"/>
        <v>2.4</v>
      </c>
    </row>
    <row r="40" spans="1:2" x14ac:dyDescent="0.2">
      <c r="A40" s="1"/>
      <c r="B40" s="1"/>
    </row>
  </sheetData>
  <mergeCells count="1">
    <mergeCell ref="E1:F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FF5B-D26C-4A10-8579-844C228309A2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2025-07-19T00:32:42Z</dcterms:modified>
</cp:coreProperties>
</file>