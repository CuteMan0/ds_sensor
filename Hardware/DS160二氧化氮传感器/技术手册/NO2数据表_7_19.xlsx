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DS160NO2传感器\"/>
    </mc:Choice>
  </mc:AlternateContent>
  <xr:revisionPtr revIDLastSave="0" documentId="13_ncr:1_{A0E7866A-2CDE-4A81-83A0-5130FC910BEE}" xr6:coauthVersionLast="47" xr6:coauthVersionMax="47" xr10:uidLastSave="{00000000-0000-0000-0000-000000000000}"/>
  <bookViews>
    <workbookView xWindow="-120" yWindow="-120" windowWidth="29040" windowHeight="15840" xr2:uid="{B40C1E79-9DF4-41DC-9FAA-72003D26B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F3" i="1" s="1"/>
  <c r="A4" i="1"/>
  <c r="F4" i="1" s="1"/>
  <c r="A5" i="1"/>
  <c r="F5" i="1" s="1"/>
  <c r="A6" i="1"/>
  <c r="F6" i="1" s="1"/>
  <c r="A7" i="1"/>
  <c r="F7" i="1" s="1"/>
  <c r="A8" i="1"/>
  <c r="F8" i="1" s="1"/>
  <c r="A2" i="1"/>
  <c r="F2" i="1" s="1"/>
</calcChain>
</file>

<file path=xl/sharedStrings.xml><?xml version="1.0" encoding="utf-8"?>
<sst xmlns="http://schemas.openxmlformats.org/spreadsheetml/2006/main" count="8" uniqueCount="8">
  <si>
    <t>Rs/Ro</t>
    <phoneticPr fontId="2" type="noConversion"/>
  </si>
  <si>
    <t>ppm</t>
    <phoneticPr fontId="2" type="noConversion"/>
  </si>
  <si>
    <t>Rs=(Vs-Vo)/Vo*Rl</t>
    <phoneticPr fontId="2" type="noConversion"/>
  </si>
  <si>
    <t>Vo(V)</t>
    <phoneticPr fontId="2" type="noConversion"/>
  </si>
  <si>
    <t>Vs(V)</t>
    <phoneticPr fontId="2" type="noConversion"/>
  </si>
  <si>
    <t>Rs(Mohm)</t>
    <phoneticPr fontId="2" type="noConversion"/>
  </si>
  <si>
    <t>Rl</t>
    <phoneticPr fontId="2" type="noConversion"/>
  </si>
  <si>
    <t>Ro(Mohm)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</si>
</sst>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4" applyAlignment="1">
      <alignment horizontal="center" vertical="center"/>
    </xf>
    <xf numFmtId="0" fontId="3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4" fillId="4" borderId="0" xfId="3" applyAlignment="1">
      <alignment horizontal="center" vertical="center"/>
    </xf>
    <xf numFmtId="0" fontId="3" fillId="3" borderId="1" xfId="2" applyBorder="1" applyAlignment="1">
      <alignment horizontal="center" vertical="center"/>
    </xf>
  </cellXfs>
  <cellStyles count="5">
    <cellStyle name="差" xfId="2" builtinId="27"/>
    <cellStyle name="常规" xfId="0" builtinId="0"/>
    <cellStyle name="好" xfId="1" builtinId="26"/>
    <cellStyle name="适中" xfId="3" builtinId="28"/>
    <cellStyle name="着色 1" xfId="4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25892021047447E-2"/>
          <c:y val="2.1548342055023879E-2"/>
          <c:w val="0.90520121836738321"/>
          <c:h val="0.907482961317210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ppm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backward val="0.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Sheet1!$A$2:$A$8</c:f>
              <c:numCache>
                <c:formatCode>General</c:formatCode>
                <c:ptCount val="7"/>
                <c:pt idx="0">
                  <c:v>0.31680000000000003</c:v>
                </c:pt>
                <c:pt idx="1">
                  <c:v>0.67199999999999993</c:v>
                </c:pt>
                <c:pt idx="2">
                  <c:v>0.98399999999999987</c:v>
                </c:pt>
                <c:pt idx="3">
                  <c:v>1.464</c:v>
                </c:pt>
                <c:pt idx="4">
                  <c:v>2.2368000000000001</c:v>
                </c:pt>
                <c:pt idx="5">
                  <c:v>5.5679999999999996</c:v>
                </c:pt>
                <c:pt idx="6">
                  <c:v>9.84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8-4C4C-BBB4-F0F1E5D29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149631"/>
        <c:axId val="1068157311"/>
      </c:scatterChart>
      <c:valAx>
        <c:axId val="106814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157311"/>
        <c:crosses val="autoZero"/>
        <c:crossBetween val="midCat"/>
      </c:valAx>
      <c:valAx>
        <c:axId val="10681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814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154752</xdr:colOff>
      <xdr:row>8</xdr:row>
      <xdr:rowOff>98769</xdr:rowOff>
    </xdr:from>
    <xdr:to>
      <xdr:col>6</xdr:col>
      <xdr:colOff>179614</xdr:colOff>
      <xdr:row>26</xdr:row>
      <xdr:rowOff>78360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CAD2C5F-3C0A-0C99-3CF1-9DB47207E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4A71-67DA-49ED-BF16-EFAB6F675402}">
  <dimension ref="A1:J18"/>
  <sheetViews>
    <sheetView tabSelected="1" zoomScale="175" zoomScaleNormal="175" workbookViewId="0">
      <selection activeCell="I8" sqref="I8"/>
    </sheetView>
  </sheetViews>
  <sheetFormatPr defaultRowHeight="14.25" x14ac:dyDescent="0.2"/>
  <cols>
    <col min="2" max="2" width="13" bestFit="1" customWidth="1"/>
  </cols>
  <sheetData>
    <row r="1" spans="1:10" x14ac:dyDescent="0.2">
      <c r="A1" s="4" t="s">
        <v>5</v>
      </c>
      <c r="B1" s="4" t="s">
        <v>1</v>
      </c>
      <c r="C1" s="1" t="s">
        <v>0</v>
      </c>
      <c r="D1" s="1" t="s">
        <v>7</v>
      </c>
      <c r="F1" s="7" t="s">
        <v>3</v>
      </c>
      <c r="G1" s="1" t="s">
        <v>6</v>
      </c>
      <c r="H1" s="1" t="s">
        <v>4</v>
      </c>
      <c r="I1" s="2" t="s">
        <v>2</v>
      </c>
      <c r="J1" s="2"/>
    </row>
    <row r="2" spans="1:10" x14ac:dyDescent="0.2">
      <c r="A2" s="5">
        <f>$D$2*C2</f>
        <v>0.31680000000000003</v>
      </c>
      <c r="B2" s="1">
        <v>0.1</v>
      </c>
      <c r="C2" s="1">
        <v>1.32</v>
      </c>
      <c r="D2" s="1">
        <v>0.24</v>
      </c>
      <c r="F2" s="8">
        <f>($G$2/(A2+$G$2))*$H$2</f>
        <v>2.9867819013726487</v>
      </c>
      <c r="G2" s="1">
        <v>0.47</v>
      </c>
      <c r="H2" s="1">
        <v>5</v>
      </c>
      <c r="I2" s="2"/>
      <c r="J2" s="2"/>
    </row>
    <row r="3" spans="1:10" x14ac:dyDescent="0.2">
      <c r="A3" s="1">
        <f>$D$2*C3</f>
        <v>0.67199999999999993</v>
      </c>
      <c r="B3" s="1">
        <v>0.3</v>
      </c>
      <c r="C3" s="1">
        <v>2.8</v>
      </c>
      <c r="D3" s="1"/>
      <c r="F3" s="1">
        <f t="shared" ref="F3:F8" si="0">($G$2/(A3+$G$2))*$H$2</f>
        <v>2.0577933450087564</v>
      </c>
      <c r="I3" s="3"/>
      <c r="J3" s="3"/>
    </row>
    <row r="4" spans="1:10" x14ac:dyDescent="0.2">
      <c r="A4" s="1">
        <f>$D$2*C4</f>
        <v>0.98399999999999987</v>
      </c>
      <c r="B4" s="1">
        <v>0.5</v>
      </c>
      <c r="C4" s="1">
        <v>4.0999999999999996</v>
      </c>
      <c r="D4" s="1"/>
      <c r="F4" s="1">
        <f t="shared" si="0"/>
        <v>1.6162310866574967</v>
      </c>
      <c r="G4" s="1"/>
      <c r="H4" s="1"/>
    </row>
    <row r="5" spans="1:10" x14ac:dyDescent="0.2">
      <c r="A5" s="1">
        <f>$D$2*C5</f>
        <v>1.464</v>
      </c>
      <c r="B5" s="1">
        <v>0.7</v>
      </c>
      <c r="C5" s="1">
        <v>6.1</v>
      </c>
      <c r="D5" s="1"/>
      <c r="F5" s="1">
        <f t="shared" si="0"/>
        <v>1.2150982419855221</v>
      </c>
    </row>
    <row r="6" spans="1:10" x14ac:dyDescent="0.2">
      <c r="A6" s="1">
        <f>$D$2*C6</f>
        <v>2.2368000000000001</v>
      </c>
      <c r="B6" s="1">
        <v>1</v>
      </c>
      <c r="C6" s="1">
        <v>9.32</v>
      </c>
      <c r="D6" s="1"/>
      <c r="F6" s="1">
        <f t="shared" si="0"/>
        <v>0.86818383330870386</v>
      </c>
    </row>
    <row r="7" spans="1:10" x14ac:dyDescent="0.2">
      <c r="A7" s="1">
        <f>$D$2*C7</f>
        <v>5.5679999999999996</v>
      </c>
      <c r="B7" s="1">
        <v>2</v>
      </c>
      <c r="C7" s="1">
        <v>23.2</v>
      </c>
      <c r="D7" s="1"/>
      <c r="F7" s="1">
        <f t="shared" si="0"/>
        <v>0.3892017224246439</v>
      </c>
    </row>
    <row r="8" spans="1:10" x14ac:dyDescent="0.2">
      <c r="A8" s="6">
        <f>$D$2*C8</f>
        <v>9.84</v>
      </c>
      <c r="B8" s="1">
        <v>3</v>
      </c>
      <c r="C8" s="1">
        <v>41</v>
      </c>
      <c r="D8" s="1"/>
      <c r="F8" s="6">
        <f t="shared" si="0"/>
        <v>0.2279340446168768</v>
      </c>
    </row>
    <row r="11" spans="1:10" x14ac:dyDescent="0.2">
      <c r="A11" s="1"/>
      <c r="B11" s="1"/>
      <c r="C11" s="1"/>
      <c r="D11" s="1"/>
    </row>
    <row r="12" spans="1:10" x14ac:dyDescent="0.2">
      <c r="A12" s="1"/>
      <c r="B12" s="1"/>
      <c r="C12" s="1"/>
      <c r="D12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</sheetData>
  <mergeCells count="1">
    <mergeCell ref="I1:J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2025-07-10T08:30:19Z</dcterms:created>
  <dcterms:modified xsi:type="dcterms:W3CDTF">2025-07-19T02:46:11Z</dcterms:modified>
</cp:coreProperties>
</file>