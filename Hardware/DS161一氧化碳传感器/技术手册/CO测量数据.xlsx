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"/>
    </mc:Choice>
  </mc:AlternateContent>
  <xr:revisionPtr revIDLastSave="0" documentId="13_ncr:1_{F72DEDD0-82CB-4400-B2F0-DCF8678C938B}" xr6:coauthVersionLast="47" xr6:coauthVersionMax="47" xr10:uidLastSave="{00000000-0000-0000-0000-000000000000}"/>
  <bookViews>
    <workbookView xWindow="-120" yWindow="-120" windowWidth="29040" windowHeight="15840" xr2:uid="{F5FEADAA-9A86-455D-8358-29434A6B2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25" i="1"/>
  <c r="C23" i="1"/>
  <c r="C20" i="1"/>
  <c r="B20" i="1"/>
  <c r="C21" i="1" s="1"/>
  <c r="C18" i="1"/>
  <c r="C16" i="1"/>
  <c r="C17" i="1"/>
  <c r="C15" i="1"/>
  <c r="C22" i="1" l="1"/>
  <c r="C26" i="1"/>
</calcChain>
</file>

<file path=xl/sharedStrings.xml><?xml version="1.0" encoding="utf-8"?>
<sst xmlns="http://schemas.openxmlformats.org/spreadsheetml/2006/main" count="9" uniqueCount="9">
  <si>
    <t>V</t>
    <phoneticPr fontId="1" type="noConversion"/>
  </si>
  <si>
    <t>ppm</t>
    <phoneticPr fontId="1" type="noConversion"/>
  </si>
  <si>
    <t>a</t>
    <phoneticPr fontId="1" type="noConversion"/>
  </si>
  <si>
    <t>k</t>
    <phoneticPr fontId="1" type="noConversion"/>
  </si>
  <si>
    <t>b</t>
    <phoneticPr fontId="1" type="noConversion"/>
  </si>
  <si>
    <t>α</t>
    <phoneticPr fontId="1" type="noConversion"/>
  </si>
  <si>
    <t xml:space="preserve"> </t>
    <phoneticPr fontId="1" type="noConversion"/>
  </si>
  <si>
    <t>ppm（50~300）</t>
    <phoneticPr fontId="1" type="noConversion"/>
  </si>
  <si>
    <t>ppm（300~1000）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</si>
</sst>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0" xfId="1">
      <alignment vertical="center"/>
    </xf>
    <xf numFmtId="0" fontId="3" fillId="3" borderId="0" xfId="2">
      <alignment vertical="center"/>
    </xf>
  </cellXfs>
  <cellStyles count="3">
    <cellStyle name="常规" xfId="0" builtinId="0"/>
    <cellStyle name="适中" xfId="1" builtinId="28"/>
    <cellStyle name="着色 1" xfId="2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2.6</c:v>
                </c:pt>
                <c:pt idx="1">
                  <c:v>3.3</c:v>
                </c:pt>
                <c:pt idx="2">
                  <c:v>4.0999999999999996</c:v>
                </c:pt>
                <c:pt idx="3">
                  <c:v>4.4000000000000004</c:v>
                </c:pt>
                <c:pt idx="4">
                  <c:v>4.5</c:v>
                </c:pt>
                <c:pt idx="5">
                  <c:v>4.5599999999999996</c:v>
                </c:pt>
                <c:pt idx="6">
                  <c:v>4.62</c:v>
                </c:pt>
                <c:pt idx="7">
                  <c:v>4.68</c:v>
                </c:pt>
                <c:pt idx="8">
                  <c:v>4.74</c:v>
                </c:pt>
                <c:pt idx="9">
                  <c:v>4.8</c:v>
                </c:pt>
                <c:pt idx="10">
                  <c:v>4.8600000000000003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C-405A-89B1-3580B14E29B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2.6</c:v>
                </c:pt>
                <c:pt idx="1">
                  <c:v>3.3</c:v>
                </c:pt>
                <c:pt idx="2">
                  <c:v>4.0999999999999996</c:v>
                </c:pt>
                <c:pt idx="3">
                  <c:v>4.4000000000000004</c:v>
                </c:pt>
                <c:pt idx="4">
                  <c:v>4.5</c:v>
                </c:pt>
                <c:pt idx="5">
                  <c:v>4.5599999999999996</c:v>
                </c:pt>
                <c:pt idx="6">
                  <c:v>4.62</c:v>
                </c:pt>
                <c:pt idx="7">
                  <c:v>4.68</c:v>
                </c:pt>
                <c:pt idx="8">
                  <c:v>4.74</c:v>
                </c:pt>
                <c:pt idx="9">
                  <c:v>4.8</c:v>
                </c:pt>
                <c:pt idx="10">
                  <c:v>4.8600000000000003</c:v>
                </c:pt>
              </c:numCache>
            </c:numRef>
          </c:xVal>
          <c:yVal>
            <c:numRef>
              <c:f>(Sheet1!$C$15:$C$18,Sheet1!$C$20:$C$26)</c:f>
              <c:numCache>
                <c:formatCode>General</c:formatCode>
                <c:ptCount val="11"/>
                <c:pt idx="0">
                  <c:v>49.994919335396901</c:v>
                </c:pt>
                <c:pt idx="1">
                  <c:v>101.38461836250333</c:v>
                </c:pt>
                <c:pt idx="2">
                  <c:v>227.44794225939845</c:v>
                </c:pt>
                <c:pt idx="3">
                  <c:v>307.9450589326342</c:v>
                </c:pt>
                <c:pt idx="4">
                  <c:v>399.8799999999992</c:v>
                </c:pt>
                <c:pt idx="5">
                  <c:v>499.89999999999873</c:v>
                </c:pt>
                <c:pt idx="6">
                  <c:v>599.91999999999916</c:v>
                </c:pt>
                <c:pt idx="7">
                  <c:v>699.93999999999869</c:v>
                </c:pt>
                <c:pt idx="8">
                  <c:v>799.95999999999913</c:v>
                </c:pt>
                <c:pt idx="9">
                  <c:v>899.97999999999865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FA-4DF4-841C-DF259D9CA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267167"/>
        <c:axId val="325259007"/>
      </c:scatterChart>
      <c:valAx>
        <c:axId val="32526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5259007"/>
        <c:crosses val="autoZero"/>
        <c:crossBetween val="midCat"/>
      </c:valAx>
      <c:valAx>
        <c:axId val="32525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526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479535</xdr:colOff>
      <xdr:row>1</xdr:row>
      <xdr:rowOff>65690</xdr:rowOff>
    </xdr:from>
    <xdr:to>
      <xdr:col>10</xdr:col>
      <xdr:colOff>318453</xdr:colOff>
      <xdr:row>16</xdr:row>
      <xdr:rowOff>129983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90D1523-A1EC-4E64-A99B-9FDD02B08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62AD-6195-49F9-A5AD-DC7789375CAA}">
  <dimension ref="A1:E26"/>
  <sheetViews>
    <sheetView tabSelected="1" zoomScale="130" zoomScaleNormal="130" workbookViewId="0">
      <selection activeCell="M17" sqref="M17"/>
    </sheetView>
  </sheetViews>
  <sheetFormatPr defaultRowHeight="14.25" x14ac:dyDescent="0.2"/>
  <sheetData>
    <row r="1" spans="1:5" x14ac:dyDescent="0.2">
      <c r="A1" t="s">
        <v>0</v>
      </c>
      <c r="B1" t="s">
        <v>1</v>
      </c>
    </row>
    <row r="2" spans="1:5" x14ac:dyDescent="0.2">
      <c r="A2">
        <v>2.6</v>
      </c>
      <c r="B2" s="3">
        <v>50</v>
      </c>
      <c r="C2" s="1"/>
      <c r="E2" s="1"/>
    </row>
    <row r="3" spans="1:5" x14ac:dyDescent="0.2">
      <c r="A3">
        <v>3.3</v>
      </c>
      <c r="B3" s="3">
        <v>100</v>
      </c>
      <c r="C3" s="1"/>
      <c r="E3" s="1"/>
    </row>
    <row r="4" spans="1:5" x14ac:dyDescent="0.2">
      <c r="A4">
        <v>4.0999999999999996</v>
      </c>
      <c r="B4" s="3">
        <v>200</v>
      </c>
      <c r="C4" s="1"/>
      <c r="E4" s="1"/>
    </row>
    <row r="5" spans="1:5" x14ac:dyDescent="0.2">
      <c r="A5">
        <v>4.4000000000000004</v>
      </c>
      <c r="B5" s="3">
        <v>300</v>
      </c>
      <c r="C5" s="1"/>
      <c r="E5" s="1"/>
    </row>
    <row r="6" spans="1:5" x14ac:dyDescent="0.2">
      <c r="A6">
        <v>4.5</v>
      </c>
      <c r="B6" s="3">
        <v>400</v>
      </c>
      <c r="C6" s="1"/>
      <c r="E6" s="1"/>
    </row>
    <row r="7" spans="1:5" x14ac:dyDescent="0.2">
      <c r="A7">
        <v>4.5599999999999996</v>
      </c>
      <c r="B7" s="3">
        <v>500</v>
      </c>
      <c r="C7" s="1"/>
      <c r="E7" s="1"/>
    </row>
    <row r="8" spans="1:5" x14ac:dyDescent="0.2">
      <c r="A8">
        <v>4.62</v>
      </c>
      <c r="B8" s="3">
        <v>600</v>
      </c>
      <c r="C8" s="1"/>
      <c r="E8" s="1"/>
    </row>
    <row r="9" spans="1:5" x14ac:dyDescent="0.2">
      <c r="A9">
        <v>4.68</v>
      </c>
      <c r="B9" s="3">
        <v>700</v>
      </c>
      <c r="C9" s="1"/>
      <c r="E9" s="1"/>
    </row>
    <row r="10" spans="1:5" x14ac:dyDescent="0.2">
      <c r="A10">
        <v>4.74</v>
      </c>
      <c r="B10" s="3">
        <v>800</v>
      </c>
      <c r="C10" s="1"/>
      <c r="E10" s="1"/>
    </row>
    <row r="11" spans="1:5" x14ac:dyDescent="0.2">
      <c r="A11">
        <v>4.8</v>
      </c>
      <c r="B11" s="3">
        <v>900</v>
      </c>
      <c r="C11" s="1"/>
      <c r="E11" s="1"/>
    </row>
    <row r="12" spans="1:5" x14ac:dyDescent="0.2">
      <c r="A12">
        <v>4.8600000000000003</v>
      </c>
      <c r="B12" s="3">
        <v>1000</v>
      </c>
      <c r="C12" s="1"/>
      <c r="E12" s="1"/>
    </row>
    <row r="14" spans="1:5" x14ac:dyDescent="0.2">
      <c r="A14" t="s">
        <v>2</v>
      </c>
      <c r="B14" t="s">
        <v>5</v>
      </c>
      <c r="C14" t="s">
        <v>7</v>
      </c>
    </row>
    <row r="15" spans="1:5" x14ac:dyDescent="0.2">
      <c r="A15">
        <v>3.6179999999999999</v>
      </c>
      <c r="B15">
        <v>1.01</v>
      </c>
      <c r="C15" s="2">
        <f>$A$15*EXP(A2*$B$15)</f>
        <v>49.994919335396901</v>
      </c>
    </row>
    <row r="16" spans="1:5" x14ac:dyDescent="0.2">
      <c r="C16" s="2">
        <f t="shared" ref="C16:C17" si="0">$A$15*EXP(A3*$B$15)</f>
        <v>101.38461836250333</v>
      </c>
    </row>
    <row r="17" spans="1:4" x14ac:dyDescent="0.2">
      <c r="C17" s="2">
        <f t="shared" si="0"/>
        <v>227.44794225939845</v>
      </c>
    </row>
    <row r="18" spans="1:4" x14ac:dyDescent="0.2">
      <c r="C18" s="2">
        <f>$A$15*EXP(A5*$B$15)</f>
        <v>307.9450589326342</v>
      </c>
      <c r="D18" t="s">
        <v>6</v>
      </c>
    </row>
    <row r="19" spans="1:4" x14ac:dyDescent="0.2">
      <c r="A19" t="s">
        <v>3</v>
      </c>
      <c r="B19" t="s">
        <v>4</v>
      </c>
      <c r="C19" t="s">
        <v>8</v>
      </c>
    </row>
    <row r="20" spans="1:4" x14ac:dyDescent="0.2">
      <c r="A20">
        <v>1667</v>
      </c>
      <c r="B20">
        <f>B12-A20*A12</f>
        <v>-7101.6200000000008</v>
      </c>
      <c r="C20" s="2">
        <f>$A$20*A6+$B$20</f>
        <v>399.8799999999992</v>
      </c>
    </row>
    <row r="21" spans="1:4" x14ac:dyDescent="0.2">
      <c r="C21" s="2">
        <f t="shared" ref="C21:C25" si="1">$A$20*A7+$B$20</f>
        <v>499.89999999999873</v>
      </c>
    </row>
    <row r="22" spans="1:4" x14ac:dyDescent="0.2">
      <c r="C22" s="2">
        <f t="shared" si="1"/>
        <v>599.91999999999916</v>
      </c>
    </row>
    <row r="23" spans="1:4" x14ac:dyDescent="0.2">
      <c r="C23" s="2">
        <f t="shared" si="1"/>
        <v>699.93999999999869</v>
      </c>
    </row>
    <row r="24" spans="1:4" x14ac:dyDescent="0.2">
      <c r="C24" s="2">
        <f>$A$20*A10+$B$20</f>
        <v>799.95999999999913</v>
      </c>
    </row>
    <row r="25" spans="1:4" x14ac:dyDescent="0.2">
      <c r="C25" s="2">
        <f t="shared" si="1"/>
        <v>899.97999999999865</v>
      </c>
    </row>
    <row r="26" spans="1:4" x14ac:dyDescent="0.2">
      <c r="C26" s="2">
        <f>$A$20*A12+$B$20</f>
        <v>1000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2025-07-09T00:57:20Z</dcterms:created>
  <dcterms:modified xsi:type="dcterms:W3CDTF">2025-07-16T01:05:41Z</dcterms:modified>
</cp:coreProperties>
</file>